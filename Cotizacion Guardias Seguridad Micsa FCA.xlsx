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COT_033\"/>
    </mc:Choice>
  </mc:AlternateContent>
  <bookViews>
    <workbookView xWindow="0" yWindow="0" windowWidth="20490" windowHeight="7755" activeTab="1"/>
  </bookViews>
  <sheets>
    <sheet name="Portada" sheetId="9" r:id="rId1"/>
    <sheet name="Global" sheetId="2" r:id="rId2"/>
    <sheet name="1-Nomina Mes-Año" sheetId="1" r:id="rId3"/>
    <sheet name="1-Desglozar Nomina" sheetId="10" r:id="rId4"/>
    <sheet name="2-Traslados" sheetId="8" r:id="rId5"/>
    <sheet name="3-DC-3 MED-DOPAJE" sheetId="4" r:id="rId6"/>
    <sheet name="4-UNIFORMES" sheetId="5" r:id="rId7"/>
    <sheet name="5-HERRAMIENTAS" sheetId="6" r:id="rId8"/>
    <sheet name="6-EPP" sheetId="7" r:id="rId9"/>
    <sheet name="7-Cuatrimotos" sheetId="3" r:id="rId10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2" l="1"/>
  <c r="I24" i="3"/>
  <c r="L71" i="6" l="1"/>
  <c r="S18" i="5" l="1"/>
  <c r="M8" i="6" l="1"/>
  <c r="S6" i="5"/>
  <c r="S7" i="5"/>
  <c r="S8" i="5"/>
  <c r="S9" i="5"/>
  <c r="S5" i="5"/>
  <c r="I25" i="3" l="1"/>
  <c r="L36" i="3"/>
  <c r="L35" i="3"/>
  <c r="L34" i="3"/>
  <c r="I9" i="3"/>
  <c r="D50" i="10"/>
  <c r="F49" i="10"/>
  <c r="D49" i="10"/>
  <c r="F46" i="10"/>
  <c r="I46" i="10" s="1"/>
  <c r="I47" i="10" s="1"/>
  <c r="E46" i="10"/>
  <c r="F36" i="10"/>
  <c r="G36" i="10" s="1"/>
  <c r="E36" i="10"/>
  <c r="I26" i="10"/>
  <c r="I27" i="10" s="1"/>
  <c r="D29" i="10" s="1"/>
  <c r="F29" i="10" s="1"/>
  <c r="D30" i="10" s="1"/>
  <c r="I15" i="10"/>
  <c r="G26" i="10"/>
  <c r="F26" i="10"/>
  <c r="E26" i="10"/>
  <c r="I11" i="10"/>
  <c r="I12" i="10"/>
  <c r="I13" i="10"/>
  <c r="I14" i="10"/>
  <c r="I10" i="10"/>
  <c r="F10" i="10"/>
  <c r="F11" i="10"/>
  <c r="F12" i="10"/>
  <c r="F13" i="10"/>
  <c r="F14" i="10"/>
  <c r="E11" i="10"/>
  <c r="E12" i="10"/>
  <c r="E13" i="10"/>
  <c r="E14" i="10"/>
  <c r="E10" i="10"/>
  <c r="F46" i="1"/>
  <c r="F47" i="1" s="1"/>
  <c r="F41" i="8"/>
  <c r="F25" i="8"/>
  <c r="F11" i="1"/>
  <c r="L10" i="7"/>
  <c r="L9" i="7"/>
  <c r="M9" i="7" s="1"/>
  <c r="L8" i="7"/>
  <c r="M8" i="7" s="1"/>
  <c r="C24" i="4"/>
  <c r="F24" i="4" s="1"/>
  <c r="C16" i="4"/>
  <c r="H67" i="6"/>
  <c r="I67" i="6" s="1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C15" i="4"/>
  <c r="C23" i="4"/>
  <c r="F23" i="4" s="1"/>
  <c r="C22" i="4"/>
  <c r="F22" i="4" s="1"/>
  <c r="C14" i="4"/>
  <c r="F16" i="4"/>
  <c r="F8" i="4"/>
  <c r="H44" i="6"/>
  <c r="I44" i="6" s="1"/>
  <c r="L21" i="6"/>
  <c r="M21" i="6" s="1"/>
  <c r="M10" i="7"/>
  <c r="H32" i="7"/>
  <c r="I32" i="7" s="1"/>
  <c r="H33" i="7"/>
  <c r="I33" i="7" s="1"/>
  <c r="N31" i="7" s="1"/>
  <c r="N32" i="7" s="1"/>
  <c r="H34" i="7"/>
  <c r="H35" i="7"/>
  <c r="I35" i="7" s="1"/>
  <c r="H36" i="7"/>
  <c r="I36" i="7" s="1"/>
  <c r="H37" i="7"/>
  <c r="I37" i="7" s="1"/>
  <c r="H38" i="7"/>
  <c r="I38" i="7" s="1"/>
  <c r="H31" i="7"/>
  <c r="I31" i="7" s="1"/>
  <c r="H56" i="7"/>
  <c r="I56" i="7" s="1"/>
  <c r="H57" i="7"/>
  <c r="I57" i="7" s="1"/>
  <c r="H58" i="7"/>
  <c r="I58" i="7" s="1"/>
  <c r="H59" i="7"/>
  <c r="I59" i="7" s="1"/>
  <c r="H60" i="7"/>
  <c r="H61" i="7"/>
  <c r="I61" i="7" s="1"/>
  <c r="H62" i="7"/>
  <c r="I62" i="7" s="1"/>
  <c r="H55" i="7"/>
  <c r="I55" i="7" s="1"/>
  <c r="I69" i="7"/>
  <c r="I68" i="7"/>
  <c r="I67" i="7"/>
  <c r="I66" i="7"/>
  <c r="I65" i="7"/>
  <c r="I64" i="7"/>
  <c r="I63" i="7"/>
  <c r="I60" i="7"/>
  <c r="I34" i="7"/>
  <c r="I39" i="7"/>
  <c r="I40" i="7"/>
  <c r="I41" i="7"/>
  <c r="I42" i="7"/>
  <c r="I43" i="7"/>
  <c r="I44" i="7"/>
  <c r="I45" i="7"/>
  <c r="L13" i="7"/>
  <c r="M13" i="7" s="1"/>
  <c r="L11" i="7"/>
  <c r="M11" i="7" s="1"/>
  <c r="L12" i="7"/>
  <c r="M12" i="7" s="1"/>
  <c r="L14" i="7"/>
  <c r="M14" i="7" s="1"/>
  <c r="L15" i="7"/>
  <c r="M15" i="7" s="1"/>
  <c r="L16" i="7"/>
  <c r="M16" i="7" s="1"/>
  <c r="L17" i="7"/>
  <c r="M17" i="7" s="1"/>
  <c r="L18" i="7"/>
  <c r="L19" i="7"/>
  <c r="M19" i="7" s="1"/>
  <c r="L20" i="7"/>
  <c r="M20" i="7" s="1"/>
  <c r="L21" i="7"/>
  <c r="M21" i="7" s="1"/>
  <c r="L7" i="7"/>
  <c r="M7" i="7" s="1"/>
  <c r="M18" i="7"/>
  <c r="D57" i="5"/>
  <c r="D56" i="5"/>
  <c r="D55" i="5"/>
  <c r="D54" i="5"/>
  <c r="D53" i="5"/>
  <c r="D52" i="5"/>
  <c r="D50" i="5"/>
  <c r="D49" i="5"/>
  <c r="D48" i="5"/>
  <c r="D47" i="5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H43" i="6"/>
  <c r="I43" i="6" s="1"/>
  <c r="H42" i="6"/>
  <c r="I42" i="6" s="1"/>
  <c r="H41" i="6"/>
  <c r="I41" i="6" s="1"/>
  <c r="H40" i="6"/>
  <c r="I40" i="6" s="1"/>
  <c r="H39" i="6"/>
  <c r="I39" i="6" s="1"/>
  <c r="H38" i="6"/>
  <c r="I38" i="6" s="1"/>
  <c r="H37" i="6"/>
  <c r="I37" i="6" s="1"/>
  <c r="H36" i="6"/>
  <c r="I36" i="6" s="1"/>
  <c r="H35" i="6"/>
  <c r="I35" i="6" s="1"/>
  <c r="H34" i="6"/>
  <c r="I34" i="6" s="1"/>
  <c r="H33" i="6"/>
  <c r="I33" i="6" s="1"/>
  <c r="H32" i="6"/>
  <c r="I32" i="6" s="1"/>
  <c r="H31" i="6"/>
  <c r="I31" i="6" s="1"/>
  <c r="H30" i="6"/>
  <c r="I30" i="6" s="1"/>
  <c r="H29" i="6"/>
  <c r="I29" i="6" s="1"/>
  <c r="L7" i="6"/>
  <c r="M7" i="6" s="1"/>
  <c r="L8" i="6"/>
  <c r="L9" i="6"/>
  <c r="M9" i="6" s="1"/>
  <c r="L10" i="6"/>
  <c r="M10" i="6" s="1"/>
  <c r="L11" i="6"/>
  <c r="M11" i="6" s="1"/>
  <c r="L12" i="6"/>
  <c r="M12" i="6" s="1"/>
  <c r="L13" i="6"/>
  <c r="M13" i="6" s="1"/>
  <c r="L14" i="6"/>
  <c r="M14" i="6" s="1"/>
  <c r="L15" i="6"/>
  <c r="M15" i="6" s="1"/>
  <c r="L16" i="6"/>
  <c r="M16" i="6" s="1"/>
  <c r="L17" i="6"/>
  <c r="M17" i="6" s="1"/>
  <c r="L18" i="6"/>
  <c r="M18" i="6" s="1"/>
  <c r="M19" i="6"/>
  <c r="L20" i="6"/>
  <c r="M20" i="6" s="1"/>
  <c r="L6" i="6"/>
  <c r="M6" i="6" s="1"/>
  <c r="D42" i="5"/>
  <c r="D41" i="5"/>
  <c r="D40" i="5"/>
  <c r="D39" i="5"/>
  <c r="D38" i="5"/>
  <c r="E56" i="8"/>
  <c r="F56" i="8" s="1"/>
  <c r="E41" i="8"/>
  <c r="G33" i="8"/>
  <c r="G34" i="8"/>
  <c r="G32" i="8"/>
  <c r="I21" i="8"/>
  <c r="E21" i="8"/>
  <c r="S27" i="5"/>
  <c r="P27" i="5"/>
  <c r="M27" i="5"/>
  <c r="J27" i="5"/>
  <c r="G27" i="5"/>
  <c r="G28" i="5" s="1"/>
  <c r="P18" i="5"/>
  <c r="M18" i="5"/>
  <c r="J18" i="5"/>
  <c r="G18" i="5"/>
  <c r="G19" i="5" s="1"/>
  <c r="P6" i="5"/>
  <c r="P7" i="5"/>
  <c r="P8" i="5"/>
  <c r="P9" i="5"/>
  <c r="M6" i="5"/>
  <c r="M7" i="5"/>
  <c r="M8" i="5"/>
  <c r="M9" i="5"/>
  <c r="J6" i="5"/>
  <c r="J7" i="5"/>
  <c r="J8" i="5"/>
  <c r="J9" i="5"/>
  <c r="G6" i="5"/>
  <c r="G7" i="5"/>
  <c r="G8" i="5"/>
  <c r="G9" i="5"/>
  <c r="U9" i="5" s="1"/>
  <c r="P5" i="5"/>
  <c r="M5" i="5"/>
  <c r="J5" i="5"/>
  <c r="G5" i="5"/>
  <c r="F15" i="4"/>
  <c r="F14" i="4"/>
  <c r="F7" i="4"/>
  <c r="F6" i="4"/>
  <c r="E22" i="3"/>
  <c r="G22" i="3" s="1"/>
  <c r="G6" i="3"/>
  <c r="I8" i="3" s="1"/>
  <c r="F36" i="1"/>
  <c r="F37" i="1" s="1"/>
  <c r="D39" i="1" s="1"/>
  <c r="F26" i="1"/>
  <c r="F27" i="1" s="1"/>
  <c r="D29" i="1" s="1"/>
  <c r="F12" i="1"/>
  <c r="F13" i="1"/>
  <c r="F14" i="1"/>
  <c r="F10" i="1"/>
  <c r="L47" i="6" l="1"/>
  <c r="L48" i="6" s="1"/>
  <c r="I27" i="3"/>
  <c r="L37" i="3"/>
  <c r="C41" i="3" s="1"/>
  <c r="I36" i="10"/>
  <c r="I37" i="10" s="1"/>
  <c r="D39" i="10" s="1"/>
  <c r="F39" i="10" s="1"/>
  <c r="D40" i="10" s="1"/>
  <c r="D56" i="10" s="1"/>
  <c r="D19" i="10"/>
  <c r="F19" i="10" s="1"/>
  <c r="D20" i="10" s="1"/>
  <c r="N33" i="7"/>
  <c r="N55" i="7"/>
  <c r="N56" i="7" s="1"/>
  <c r="N58" i="7" s="1"/>
  <c r="N59" i="7" s="1"/>
  <c r="N57" i="7"/>
  <c r="N30" i="7"/>
  <c r="R7" i="7"/>
  <c r="R8" i="7"/>
  <c r="R10" i="7" s="1"/>
  <c r="N54" i="7"/>
  <c r="L70" i="6"/>
  <c r="F9" i="4"/>
  <c r="L69" i="6"/>
  <c r="P24" i="6"/>
  <c r="F25" i="4"/>
  <c r="I11" i="3"/>
  <c r="F35" i="3"/>
  <c r="F17" i="4"/>
  <c r="L46" i="6"/>
  <c r="P23" i="6"/>
  <c r="N34" i="7"/>
  <c r="N35" i="7" s="1"/>
  <c r="E57" i="8"/>
  <c r="F39" i="1"/>
  <c r="D40" i="1" s="1"/>
  <c r="E42" i="8"/>
  <c r="E27" i="8"/>
  <c r="U27" i="5"/>
  <c r="U28" i="5" s="1"/>
  <c r="D30" i="5" s="1"/>
  <c r="D31" i="5" s="1"/>
  <c r="U18" i="5"/>
  <c r="U19" i="5" s="1"/>
  <c r="D21" i="5" s="1"/>
  <c r="D22" i="5" s="1"/>
  <c r="U6" i="5"/>
  <c r="U8" i="5"/>
  <c r="U7" i="5"/>
  <c r="U5" i="5"/>
  <c r="F15" i="1"/>
  <c r="F29" i="1"/>
  <c r="D30" i="1" s="1"/>
  <c r="F34" i="3" l="1"/>
  <c r="E60" i="8"/>
  <c r="E62" i="8"/>
  <c r="E50" i="1"/>
  <c r="E51" i="1" s="1"/>
  <c r="K5" i="2"/>
  <c r="G5" i="2"/>
  <c r="O5" i="2"/>
  <c r="H5" i="2"/>
  <c r="E5" i="2"/>
  <c r="F5" i="2"/>
  <c r="M5" i="2"/>
  <c r="L5" i="2"/>
  <c r="I5" i="2"/>
  <c r="J5" i="2"/>
  <c r="D5" i="2"/>
  <c r="N5" i="2"/>
  <c r="D84" i="6"/>
  <c r="P25" i="6"/>
  <c r="D81" i="6" s="1"/>
  <c r="U10" i="5"/>
  <c r="D12" i="5" s="1"/>
  <c r="C47" i="3"/>
  <c r="C43" i="3"/>
  <c r="C48" i="3"/>
  <c r="C42" i="3"/>
  <c r="C44" i="3"/>
  <c r="C49" i="3"/>
  <c r="C40" i="3"/>
  <c r="C50" i="3"/>
  <c r="C45" i="3"/>
  <c r="C39" i="3"/>
  <c r="C46" i="3"/>
  <c r="D57" i="10"/>
  <c r="F19" i="1"/>
  <c r="D20" i="1" s="1"/>
  <c r="D19" i="1"/>
  <c r="D80" i="7"/>
  <c r="D10" i="2" s="1"/>
  <c r="N53" i="7"/>
  <c r="N29" i="7"/>
  <c r="D82" i="7"/>
  <c r="F10" i="2" s="1"/>
  <c r="D89" i="7"/>
  <c r="M10" i="2" s="1"/>
  <c r="R9" i="7"/>
  <c r="R11" i="7" s="1"/>
  <c r="R12" i="7" s="1"/>
  <c r="D86" i="7"/>
  <c r="J10" i="2" s="1"/>
  <c r="D81" i="7"/>
  <c r="E10" i="2" s="1"/>
  <c r="D84" i="7"/>
  <c r="H10" i="2" s="1"/>
  <c r="D90" i="7"/>
  <c r="N10" i="2" s="1"/>
  <c r="D88" i="7"/>
  <c r="L10" i="2" s="1"/>
  <c r="D85" i="7"/>
  <c r="I10" i="2" s="1"/>
  <c r="L68" i="6"/>
  <c r="D86" i="6"/>
  <c r="D82" i="6"/>
  <c r="D79" i="6"/>
  <c r="D87" i="6"/>
  <c r="D85" i="6"/>
  <c r="D80" i="6"/>
  <c r="D77" i="6"/>
  <c r="D76" i="6"/>
  <c r="D78" i="6"/>
  <c r="D83" i="6"/>
  <c r="F28" i="4"/>
  <c r="C32" i="4" s="1"/>
  <c r="B46" i="4" s="1"/>
  <c r="D11" i="2"/>
  <c r="L45" i="6"/>
  <c r="R6" i="7" l="1"/>
  <c r="D83" i="7"/>
  <c r="E6" i="2"/>
  <c r="I6" i="2"/>
  <c r="M6" i="2"/>
  <c r="D69" i="8"/>
  <c r="D73" i="8"/>
  <c r="D77" i="8"/>
  <c r="F6" i="2"/>
  <c r="J6" i="2"/>
  <c r="N6" i="2"/>
  <c r="D70" i="8"/>
  <c r="D74" i="8"/>
  <c r="D78" i="8"/>
  <c r="L6" i="2"/>
  <c r="D72" i="8"/>
  <c r="D76" i="8"/>
  <c r="G6" i="2"/>
  <c r="K6" i="2"/>
  <c r="O6" i="2"/>
  <c r="D71" i="8"/>
  <c r="D75" i="8"/>
  <c r="D79" i="8"/>
  <c r="H6" i="2"/>
  <c r="D6" i="2"/>
  <c r="D68" i="8"/>
  <c r="P22" i="6"/>
  <c r="D7" i="2"/>
  <c r="P7" i="2" s="1"/>
  <c r="E12" i="9" s="1"/>
  <c r="P5" i="2"/>
  <c r="E10" i="9" s="1"/>
  <c r="F11" i="2"/>
  <c r="J11" i="2"/>
  <c r="N11" i="2"/>
  <c r="M11" i="2"/>
  <c r="G11" i="2"/>
  <c r="K11" i="2"/>
  <c r="O11" i="2"/>
  <c r="H11" i="2"/>
  <c r="L11" i="2"/>
  <c r="E11" i="2"/>
  <c r="I11" i="2"/>
  <c r="B53" i="3"/>
  <c r="I9" i="2"/>
  <c r="C90" i="6"/>
  <c r="J9" i="2"/>
  <c r="N9" i="2"/>
  <c r="F9" i="2"/>
  <c r="K9" i="2"/>
  <c r="O9" i="2"/>
  <c r="G9" i="2"/>
  <c r="L9" i="2"/>
  <c r="E9" i="2"/>
  <c r="H9" i="2"/>
  <c r="M9" i="2"/>
  <c r="M12" i="2" s="1"/>
  <c r="D13" i="5"/>
  <c r="F34" i="5"/>
  <c r="D46" i="5" s="1"/>
  <c r="N12" i="2" l="1"/>
  <c r="G10" i="2"/>
  <c r="G12" i="2" s="1"/>
  <c r="D87" i="7"/>
  <c r="D51" i="5"/>
  <c r="C60" i="5" s="1"/>
  <c r="C82" i="8"/>
  <c r="P6" i="2"/>
  <c r="E11" i="9" s="1"/>
  <c r="H12" i="2"/>
  <c r="P11" i="2"/>
  <c r="E16" i="9" s="1"/>
  <c r="J12" i="2"/>
  <c r="L12" i="2"/>
  <c r="F12" i="2"/>
  <c r="E12" i="2"/>
  <c r="P9" i="2"/>
  <c r="E14" i="9" s="1"/>
  <c r="F35" i="5"/>
  <c r="D8" i="2"/>
  <c r="D91" i="7" l="1"/>
  <c r="O10" i="2" s="1"/>
  <c r="O12" i="2" s="1"/>
  <c r="K10" i="2"/>
  <c r="K12" i="2" s="1"/>
  <c r="I8" i="2"/>
  <c r="I12" i="2" s="1"/>
  <c r="D12" i="2"/>
  <c r="C94" i="7"/>
  <c r="C14" i="2" l="1"/>
  <c r="D20" i="2" s="1"/>
  <c r="P10" i="2"/>
  <c r="E15" i="9" s="1"/>
  <c r="P8" i="2"/>
  <c r="E13" i="9" s="1"/>
  <c r="E3" i="9" l="1"/>
  <c r="E4" i="9" s="1"/>
  <c r="D22" i="2"/>
  <c r="E5" i="9" l="1"/>
  <c r="E6" i="9" s="1"/>
  <c r="C24" i="2"/>
  <c r="D24" i="2" s="1"/>
</calcChain>
</file>

<file path=xl/sharedStrings.xml><?xml version="1.0" encoding="utf-8"?>
<sst xmlns="http://schemas.openxmlformats.org/spreadsheetml/2006/main" count="906" uniqueCount="255">
  <si>
    <t xml:space="preserve">Nomina </t>
  </si>
  <si>
    <t>Puestos</t>
  </si>
  <si>
    <t>Cantidad</t>
  </si>
  <si>
    <t xml:space="preserve">Sueldo </t>
  </si>
  <si>
    <t>C.P</t>
  </si>
  <si>
    <t>Total</t>
  </si>
  <si>
    <t>Jefe de Seguridad</t>
  </si>
  <si>
    <t>Sup. FCA</t>
  </si>
  <si>
    <t>Administrativos</t>
  </si>
  <si>
    <t>Monitoreo</t>
  </si>
  <si>
    <t>Oficiales</t>
  </si>
  <si>
    <t>Real</t>
  </si>
  <si>
    <t>Chofer</t>
  </si>
  <si>
    <t>Nomina Semanal</t>
  </si>
  <si>
    <t>Nomina Mensual (Factor 30.5)</t>
  </si>
  <si>
    <t>Dia</t>
  </si>
  <si>
    <t>Nomina</t>
  </si>
  <si>
    <t>CENTRO DE  DISTRIBUIDORA POLARIS SALTILLO</t>
  </si>
  <si>
    <t>Precio</t>
  </si>
  <si>
    <t>Marca</t>
  </si>
  <si>
    <t xml:space="preserve">Modelo </t>
  </si>
  <si>
    <t>Estado</t>
  </si>
  <si>
    <t>Nueva</t>
  </si>
  <si>
    <t>GUARDIAS FCA</t>
  </si>
  <si>
    <t>GUARDIAS NASA</t>
  </si>
  <si>
    <t>Gasolina estimada por semana</t>
  </si>
  <si>
    <t>4 semanas cotizadas</t>
  </si>
  <si>
    <t>Ploza de seguros repartida en costo/12</t>
  </si>
  <si>
    <t>(incluye ambas cuatrimotos)</t>
  </si>
  <si>
    <t>Cobro 1er mes</t>
  </si>
  <si>
    <t>Total cobro Global Mes 1</t>
  </si>
  <si>
    <t>Total Cobro mes 2 a 12</t>
  </si>
  <si>
    <t>DC-3</t>
  </si>
  <si>
    <t>MEDI/DOP</t>
  </si>
  <si>
    <t>PRECIO</t>
  </si>
  <si>
    <t>PERSONAL</t>
  </si>
  <si>
    <t>CANTIDAD</t>
  </si>
  <si>
    <t>PERSONAL BODEGA ESTANCIAS</t>
  </si>
  <si>
    <t>PERSONAL PLANTA FCA</t>
  </si>
  <si>
    <t>PERSONAL BODEGA NORTE (NASA)</t>
  </si>
  <si>
    <t>ESTE COBRO ES UNICO, YA QUE ES CERTIFICACION ANUAL</t>
  </si>
  <si>
    <t>Total Global</t>
  </si>
  <si>
    <t>Total Nomina Global Mensual</t>
  </si>
  <si>
    <t>UNIFORMES PERSONAL PROYECTO GUARDIAS DE SEGURIDAD</t>
  </si>
  <si>
    <t>MENSUAL</t>
  </si>
  <si>
    <t>JEFE COORDINADOR</t>
  </si>
  <si>
    <t>SUP. GUARDIAS</t>
  </si>
  <si>
    <t>ADMINISTRATIVO</t>
  </si>
  <si>
    <t>MONITOREO</t>
  </si>
  <si>
    <t>OFICIAL</t>
  </si>
  <si>
    <t>#</t>
  </si>
  <si>
    <t>PUESTO</t>
  </si>
  <si>
    <t>FRECUENCIA</t>
  </si>
  <si>
    <t>ITEM PANTALON</t>
  </si>
  <si>
    <t>ITEM CAMISA</t>
  </si>
  <si>
    <t>ITEM PLAYERA</t>
  </si>
  <si>
    <t>ITEM CHAMARRA</t>
  </si>
  <si>
    <t>ITEM GORRA</t>
  </si>
  <si>
    <t>TOTAL</t>
  </si>
  <si>
    <t>GLOBAL SEMESTRAL</t>
  </si>
  <si>
    <t>Este cobro es unicamente al inicio y en el mes numero 6</t>
  </si>
  <si>
    <t>Inicio de Proyecto</t>
  </si>
  <si>
    <t>Cobro Mes 6</t>
  </si>
  <si>
    <t>COBRO GLOBAL INICIO DE PROYECTO</t>
  </si>
  <si>
    <t>COBRO GLOBAL 6TO MES DE PROYECTO</t>
  </si>
  <si>
    <t>1ER</t>
  </si>
  <si>
    <t>6TO</t>
  </si>
  <si>
    <t>C</t>
  </si>
  <si>
    <t>Traslado</t>
  </si>
  <si>
    <t>CONCEPTO</t>
  </si>
  <si>
    <t>DC-3, Examen medico Dopaje</t>
  </si>
  <si>
    <t>Uniformes</t>
  </si>
  <si>
    <t>Herramientas</t>
  </si>
  <si>
    <t>EPP</t>
  </si>
  <si>
    <t>Cuatrimotos</t>
  </si>
  <si>
    <t>Administracion</t>
  </si>
  <si>
    <t>Utilidad</t>
  </si>
  <si>
    <t>-</t>
  </si>
  <si>
    <t>Total Global con IVA</t>
  </si>
  <si>
    <t>COBRO INICIAL DE PROYECTO (INVERSION EL MAS ALTO)</t>
  </si>
  <si>
    <t xml:space="preserve">Nomina semanal Guardias Bodega Norte (NASA) </t>
  </si>
  <si>
    <t>Nomina semanal Guardias Planta FCA</t>
  </si>
  <si>
    <t>Nomina semanal Guardias Bodega Estancias Nomina</t>
  </si>
  <si>
    <t>Traslado semanal Guardias Planta FCA</t>
  </si>
  <si>
    <t>TURNO</t>
  </si>
  <si>
    <t>A</t>
  </si>
  <si>
    <t>B</t>
  </si>
  <si>
    <t>Sup. Apoyo Monitoreo</t>
  </si>
  <si>
    <t>B/A</t>
  </si>
  <si>
    <t>A/B</t>
  </si>
  <si>
    <t>TRASLADO</t>
  </si>
  <si>
    <t>PROPIO</t>
  </si>
  <si>
    <t>URBAN (1)</t>
  </si>
  <si>
    <t>URBAN (2)</t>
  </si>
  <si>
    <t>TURNO A</t>
  </si>
  <si>
    <t xml:space="preserve">PUESTO </t>
  </si>
  <si>
    <t>Jefe Coordinador</t>
  </si>
  <si>
    <t>TOTAL PERSONAL VIAJE</t>
  </si>
  <si>
    <t>DESCRIPCION</t>
  </si>
  <si>
    <t>URBAN</t>
  </si>
  <si>
    <t>URBAN RENTADA</t>
  </si>
  <si>
    <t>GASOLINA</t>
  </si>
  <si>
    <t>GASOLINA TRANSPORTE</t>
  </si>
  <si>
    <t>SEMANAL</t>
  </si>
  <si>
    <t>POLIAZA</t>
  </si>
  <si>
    <t>Proporcionar /12</t>
  </si>
  <si>
    <t>Total Mensual</t>
  </si>
  <si>
    <t>FCA</t>
  </si>
  <si>
    <t>C: Cubre Descanso</t>
  </si>
  <si>
    <t>Traslado semanal Guardias Bodega Tierra Norte (NASA)</t>
  </si>
  <si>
    <t>(NASA)</t>
  </si>
  <si>
    <t>Traslado semanal Guardias Bodega Estancias</t>
  </si>
  <si>
    <t>NORTE</t>
  </si>
  <si>
    <t>Nomina Semanal Mostrada</t>
  </si>
  <si>
    <t>REAL</t>
  </si>
  <si>
    <t>TURNO B</t>
  </si>
  <si>
    <t>Apoyo Transporte</t>
  </si>
  <si>
    <t xml:space="preserve">Total Global </t>
  </si>
  <si>
    <t>Mostrado</t>
  </si>
  <si>
    <t>Esto se explica en la parte inferior en la pestaña 1-Nomina</t>
  </si>
  <si>
    <t>Nota: El chofer llevara al personal de turno A 15 min antes de la hora de entrada, a la hora entrada del persona turno B el los dejara igual 15 min antes de la hora de entrada regresando a personal de turno A en secuencia.</t>
  </si>
  <si>
    <t>Gorras</t>
  </si>
  <si>
    <t>Pantalon</t>
  </si>
  <si>
    <t>Camisa</t>
  </si>
  <si>
    <t>Playera</t>
  </si>
  <si>
    <t>Chamarra</t>
  </si>
  <si>
    <t>Item</t>
  </si>
  <si>
    <t>Unico cobro</t>
  </si>
  <si>
    <t>Cobro Mensual</t>
  </si>
  <si>
    <t>Lista de Herramientas pretendidas para personal Seguridad Privda Guardias</t>
  </si>
  <si>
    <t>Planta FCA (27)</t>
  </si>
  <si>
    <t>Bodega Estancias (7)</t>
  </si>
  <si>
    <t>Radio</t>
  </si>
  <si>
    <t>Lampara</t>
  </si>
  <si>
    <t>Detector de Metal</t>
  </si>
  <si>
    <t>Alcoholimetro</t>
  </si>
  <si>
    <t>Tablet Disp. QR/NFC</t>
  </si>
  <si>
    <t>Sellos</t>
  </si>
  <si>
    <t>Biometricos</t>
  </si>
  <si>
    <t>Impresora</t>
  </si>
  <si>
    <t>Bitacoras</t>
  </si>
  <si>
    <t>Celular Comunicación</t>
  </si>
  <si>
    <t>Cinturones</t>
  </si>
  <si>
    <t>Extintores</t>
  </si>
  <si>
    <t>Cantidad Total</t>
  </si>
  <si>
    <t>Jefe (1)</t>
  </si>
  <si>
    <t>Admin (6)</t>
  </si>
  <si>
    <t>Oficiales (20)</t>
  </si>
  <si>
    <t>Frecuencia</t>
  </si>
  <si>
    <t>Monto Total</t>
  </si>
  <si>
    <t>Plumas Caja C/100</t>
  </si>
  <si>
    <t>PC (Escritorio)</t>
  </si>
  <si>
    <t>Laptop</t>
  </si>
  <si>
    <t xml:space="preserve">Samsung Galaxy Tab A11 </t>
  </si>
  <si>
    <t>ML=$14,299</t>
  </si>
  <si>
    <t>KaBla=$11,900</t>
  </si>
  <si>
    <t>Market Place</t>
  </si>
  <si>
    <t>$4000- $9000</t>
  </si>
  <si>
    <t>URREA</t>
  </si>
  <si>
    <t>Mercado Libre</t>
  </si>
  <si>
    <t>Amazon</t>
  </si>
  <si>
    <t>Pack 5 $3,000</t>
  </si>
  <si>
    <t>pack 10 $7,200 premium</t>
  </si>
  <si>
    <t>pack 10 $3,800</t>
  </si>
  <si>
    <t>Provedoor</t>
  </si>
  <si>
    <t>$1100 c/u</t>
  </si>
  <si>
    <t>Total Global Planta FCA</t>
  </si>
  <si>
    <t>APP QR/NFC</t>
  </si>
  <si>
    <t>10% 2-12 mes</t>
  </si>
  <si>
    <t>6 meses</t>
  </si>
  <si>
    <t>Recargas</t>
  </si>
  <si>
    <t>Cobro 6to mes</t>
  </si>
  <si>
    <t>10% mensual</t>
  </si>
  <si>
    <t>(Mes 6 + 10%)</t>
  </si>
  <si>
    <t>Bodega NORTE (NASA) (6)</t>
  </si>
  <si>
    <t>RESUMEN DE COBRO</t>
  </si>
  <si>
    <t>No. Mes</t>
  </si>
  <si>
    <t>Total Global Bodega (NASA)</t>
  </si>
  <si>
    <t>Total Global Bodega NORTE</t>
  </si>
  <si>
    <t>TOTAL PROYECTO</t>
  </si>
  <si>
    <t>Mes</t>
  </si>
  <si>
    <t>N/A</t>
  </si>
  <si>
    <t>Total Global Proyecto</t>
  </si>
  <si>
    <t>Lista de Uniforme pretendido para personal Seguridad Privda Guardias</t>
  </si>
  <si>
    <t>Oficiales (7)</t>
  </si>
  <si>
    <t>Oficiales (6)</t>
  </si>
  <si>
    <t>Cascos</t>
  </si>
  <si>
    <t>Tapones</t>
  </si>
  <si>
    <t>Lentes</t>
  </si>
  <si>
    <t>Bota tactica</t>
  </si>
  <si>
    <t>Gabardinas/Overl</t>
  </si>
  <si>
    <t>Chalecos</t>
  </si>
  <si>
    <t>Gaffete</t>
  </si>
  <si>
    <t>Mensual</t>
  </si>
  <si>
    <t>Unico</t>
  </si>
  <si>
    <t>6 Mes</t>
  </si>
  <si>
    <t>Silbato (Caja c/100pzs)</t>
  </si>
  <si>
    <t>4 meses</t>
  </si>
  <si>
    <t>Cobro unico</t>
  </si>
  <si>
    <t>Cobro 4to mes</t>
  </si>
  <si>
    <t>Mes 1</t>
  </si>
  <si>
    <t>Cobro 8vo mes</t>
  </si>
  <si>
    <t>mes 4</t>
  </si>
  <si>
    <t>mes 6</t>
  </si>
  <si>
    <t>mes 8</t>
  </si>
  <si>
    <t>Mes (2,3,5,7,9-11)</t>
  </si>
  <si>
    <t>Cobro 12vo mes</t>
  </si>
  <si>
    <t>mes 12</t>
  </si>
  <si>
    <t>Costo Total del Proyecto</t>
  </si>
  <si>
    <t>Administracion 3%</t>
  </si>
  <si>
    <t>Utilidad 20%</t>
  </si>
  <si>
    <t>Concepto</t>
  </si>
  <si>
    <t>Monto</t>
  </si>
  <si>
    <t>Costo del Proyecto</t>
  </si>
  <si>
    <t>Conceptos Generales</t>
  </si>
  <si>
    <t>Nomina Global</t>
  </si>
  <si>
    <t>Traslado Global</t>
  </si>
  <si>
    <t>Capacitacion/Examenes</t>
  </si>
  <si>
    <t>Uniformes Global</t>
  </si>
  <si>
    <t>Herramientas Global</t>
  </si>
  <si>
    <t>EPP Global</t>
  </si>
  <si>
    <t>Cuatrimotos Global</t>
  </si>
  <si>
    <t>Cobro incial mes 1</t>
  </si>
  <si>
    <t>Cobro mensual (2-5,7-12) 10%</t>
  </si>
  <si>
    <t>GLOBALES INDIVIDUALES</t>
  </si>
  <si>
    <t>PROYECTO</t>
  </si>
  <si>
    <t>Valores Agregadors</t>
  </si>
  <si>
    <t>Implementacion de APP de registro de recorriedo del guardia a los diversos puntos, escanenado el QR/NFC dejando un registro de timepo</t>
  </si>
  <si>
    <t>en que se ejecuto el recorrido, las veces que se ejecuto el recorrido y la hora en que dicho acontecimiento se dio.</t>
  </si>
  <si>
    <t>Documentacion entregable diariamente por medio, el usuario estara informado en tiempo real de la ejecuccion de las actividades y los acontecimientos</t>
  </si>
  <si>
    <t>mas importantes y/o destacados de cada turno, entregandose un reporte general a las 09:00 horas del dia.</t>
  </si>
  <si>
    <t>Riguroso proceso de selección de personal,requisitos especificos , desde cierta formacion escolar, aplicando examenes psicometricos, detector de mentiras</t>
  </si>
  <si>
    <t>, y entrevista del Coordinador de Seguridad Gerardo Guzman, quien fue formado en Academia de Coporacion Distingida.</t>
  </si>
  <si>
    <t xml:space="preserve">Documentacion profesional, manuales, procesos, contingencias, estrategias, estructuradas para garantiar el perfecto funcionamiento y sincronia de los </t>
  </si>
  <si>
    <t>colaboradores (Guardias de Seguridad Patrimonial), los cuales se capacitan constantemente, para garantizar el mejor servicio posible</t>
  </si>
  <si>
    <t>Asistencia 24/7 por parte de personal administrativo de Micsa Safety , (GRUPO MICSA) para cualquier intervencion necesaria</t>
  </si>
  <si>
    <t>QR DE APP AGREARLO</t>
  </si>
  <si>
    <t>CORREO DRIVE NUBE DE ARCHIVOS (AGREGARLO)</t>
  </si>
  <si>
    <t>SELECCIÓN</t>
  </si>
  <si>
    <t>Renta Mes</t>
  </si>
  <si>
    <t>Gasolina</t>
  </si>
  <si>
    <t>Polizas</t>
  </si>
  <si>
    <t>Total Mes=</t>
  </si>
  <si>
    <t>Adiccional</t>
  </si>
  <si>
    <t>Salario Diario</t>
  </si>
  <si>
    <t>Sueldo Base</t>
  </si>
  <si>
    <t>CP</t>
  </si>
  <si>
    <t>BONO</t>
  </si>
  <si>
    <t>SALARIO NETO</t>
  </si>
  <si>
    <t>DESGLOSE DE SUELDOS DE PERSONAL</t>
  </si>
  <si>
    <t>POR UNIDAD</t>
  </si>
  <si>
    <t>ITEM</t>
  </si>
  <si>
    <t>SEMANAS</t>
  </si>
  <si>
    <t>POLIZA FIDELIDAD</t>
  </si>
  <si>
    <t>Prorrateado 12 meses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</si>
</sst>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6" fontId="0" fillId="0" borderId="0" xfId="0" applyNumberForma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1" fillId="0" borderId="1" xfId="0" applyNumberFormat="1" applyFont="1" applyBorder="1"/>
    <xf numFmtId="0" fontId="0" fillId="0" borderId="0" xfId="0" applyAlignment="1"/>
    <xf numFmtId="0" fontId="0" fillId="2" borderId="0" xfId="0" applyFill="1"/>
    <xf numFmtId="0" fontId="0" fillId="3" borderId="0" xfId="0" applyFill="1"/>
    <xf numFmtId="0" fontId="0" fillId="4" borderId="0" xfId="0" applyFill="1"/>
    <xf numFmtId="8" fontId="0" fillId="0" borderId="1" xfId="0" applyNumberFormat="1" applyBorder="1"/>
    <xf numFmtId="0" fontId="0" fillId="0" borderId="1" xfId="0" applyBorder="1" applyAlignment="1"/>
    <xf numFmtId="8" fontId="0" fillId="0" borderId="1" xfId="0" applyNumberFormat="1" applyBorder="1" applyAlignment="1">
      <alignment horizontal="center"/>
    </xf>
    <xf numFmtId="0" fontId="1" fillId="0" borderId="1" xfId="0" applyFont="1" applyBorder="1"/>
    <xf numFmtId="6" fontId="0" fillId="0" borderId="1" xfId="0" applyNumberFormat="1" applyBorder="1"/>
    <xf numFmtId="6" fontId="0" fillId="0" borderId="6" xfId="0" applyNumberFormat="1" applyBorder="1"/>
    <xf numFmtId="6" fontId="0" fillId="0" borderId="1" xfId="0" applyNumberFormat="1" applyBorder="1" applyAlignment="1">
      <alignment horizontal="center"/>
    </xf>
    <xf numFmtId="8" fontId="1" fillId="2" borderId="1" xfId="0" applyNumberFormat="1" applyFont="1" applyFill="1" applyBorder="1"/>
    <xf numFmtId="8" fontId="1" fillId="2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164" fontId="0" fillId="0" borderId="8" xfId="0" applyNumberFormat="1" applyBorder="1"/>
    <xf numFmtId="8" fontId="1" fillId="3" borderId="8" xfId="0" applyNumberFormat="1" applyFont="1" applyFill="1" applyBorder="1" applyAlignment="1">
      <alignment horizontal="center"/>
    </xf>
    <xf numFmtId="8" fontId="1" fillId="3" borderId="1" xfId="0" applyNumberFormat="1" applyFont="1" applyFill="1" applyBorder="1"/>
    <xf numFmtId="0" fontId="1" fillId="3" borderId="7" xfId="0" applyFont="1" applyFill="1" applyBorder="1"/>
    <xf numFmtId="164" fontId="1" fillId="3" borderId="1" xfId="0" applyNumberFormat="1" applyFont="1" applyFill="1" applyBorder="1"/>
    <xf numFmtId="164" fontId="1" fillId="2" borderId="1" xfId="0" applyNumberFormat="1" applyFont="1" applyFill="1" applyBorder="1"/>
    <xf numFmtId="0" fontId="0" fillId="0" borderId="6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164" fontId="0" fillId="0" borderId="1" xfId="0" applyNumberFormat="1" applyFill="1" applyBorder="1" applyAlignment="1">
      <alignment horizontal="center"/>
    </xf>
    <xf numFmtId="6" fontId="0" fillId="0" borderId="0" xfId="0" applyNumberFormat="1" applyAlignment="1">
      <alignment horizontal="center"/>
    </xf>
    <xf numFmtId="0" fontId="1" fillId="0" borderId="8" xfId="0" applyFont="1" applyBorder="1"/>
    <xf numFmtId="6" fontId="1" fillId="0" borderId="8" xfId="0" applyNumberFormat="1" applyFont="1" applyBorder="1"/>
    <xf numFmtId="6" fontId="1" fillId="0" borderId="8" xfId="0" applyNumberFormat="1" applyFont="1" applyBorder="1" applyAlignment="1">
      <alignment horizontal="center"/>
    </xf>
    <xf numFmtId="0" fontId="1" fillId="4" borderId="0" xfId="0" applyFont="1" applyFill="1"/>
    <xf numFmtId="0" fontId="1" fillId="3" borderId="0" xfId="0" applyFont="1" applyFill="1"/>
    <xf numFmtId="0" fontId="1" fillId="2" borderId="0" xfId="0" applyFont="1" applyFill="1"/>
    <xf numFmtId="0" fontId="0" fillId="0" borderId="0" xfId="0" applyBorder="1" applyAlignment="1">
      <alignment horizontal="left"/>
    </xf>
    <xf numFmtId="164" fontId="0" fillId="0" borderId="0" xfId="0" applyNumberFormat="1" applyBorder="1" applyAlignment="1">
      <alignment horizontal="center"/>
    </xf>
    <xf numFmtId="6" fontId="0" fillId="0" borderId="1" xfId="0" applyNumberFormat="1" applyFill="1" applyBorder="1" applyAlignment="1">
      <alignment horizontal="center"/>
    </xf>
    <xf numFmtId="0" fontId="0" fillId="0" borderId="0" xfId="0" applyFill="1" applyBorder="1"/>
    <xf numFmtId="0" fontId="0" fillId="0" borderId="6" xfId="0" applyBorder="1"/>
    <xf numFmtId="0" fontId="1" fillId="2" borderId="1" xfId="0" applyFont="1" applyFill="1" applyBorder="1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/>
    <xf numFmtId="164" fontId="1" fillId="2" borderId="0" xfId="0" applyNumberFormat="1" applyFont="1" applyFill="1"/>
    <xf numFmtId="0" fontId="1" fillId="0" borderId="7" xfId="0" applyFont="1" applyFill="1" applyBorder="1" applyAlignment="1">
      <alignment horizontal="center"/>
    </xf>
    <xf numFmtId="164" fontId="1" fillId="2" borderId="5" xfId="0" applyNumberFormat="1" applyFont="1" applyFill="1" applyBorder="1"/>
    <xf numFmtId="164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0" fontId="1" fillId="0" borderId="6" xfId="0" applyFont="1" applyBorder="1" applyAlignment="1"/>
    <xf numFmtId="0" fontId="1" fillId="0" borderId="1" xfId="0" applyFont="1" applyFill="1" applyBorder="1" applyAlignment="1">
      <alignment horizontal="center"/>
    </xf>
    <xf numFmtId="9" fontId="1" fillId="0" borderId="1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9" fontId="1" fillId="0" borderId="0" xfId="0" applyNumberFormat="1" applyFont="1" applyBorder="1" applyAlignment="1"/>
    <xf numFmtId="164" fontId="1" fillId="0" borderId="0" xfId="0" applyNumberFormat="1" applyFont="1" applyBorder="1" applyAlignment="1"/>
    <xf numFmtId="0" fontId="1" fillId="0" borderId="1" xfId="0" applyFont="1" applyFill="1" applyBorder="1" applyAlignment="1">
      <alignment horizontal="left"/>
    </xf>
    <xf numFmtId="0" fontId="1" fillId="0" borderId="0" xfId="0" applyFont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0" fontId="1" fillId="0" borderId="2" xfId="0" applyFont="1" applyBorder="1" applyAlignment="1"/>
    <xf numFmtId="0" fontId="0" fillId="0" borderId="1" xfId="0" applyBorder="1" applyAlignment="1">
      <alignment horizontal="right"/>
    </xf>
    <xf numFmtId="0" fontId="0" fillId="0" borderId="1" xfId="0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/>
    <xf numFmtId="0" fontId="0" fillId="0" borderId="0" xfId="0" applyBorder="1"/>
    <xf numFmtId="164" fontId="1" fillId="0" borderId="0" xfId="0" applyNumberFormat="1" applyFon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6" fontId="0" fillId="0" borderId="0" xfId="0" applyNumberFormat="1" applyBorder="1"/>
    <xf numFmtId="6" fontId="0" fillId="0" borderId="15" xfId="0" applyNumberFormat="1" applyBorder="1"/>
    <xf numFmtId="0" fontId="0" fillId="0" borderId="16" xfId="0" applyBorder="1"/>
    <xf numFmtId="0" fontId="0" fillId="0" borderId="17" xfId="0" applyBorder="1"/>
    <xf numFmtId="6" fontId="0" fillId="0" borderId="18" xfId="0" applyNumberFormat="1" applyBorder="1"/>
    <xf numFmtId="164" fontId="1" fillId="0" borderId="0" xfId="1" applyNumberFormat="1" applyFont="1" applyAlignment="1">
      <alignment horizontal="center"/>
    </xf>
    <xf numFmtId="0" fontId="0" fillId="0" borderId="1" xfId="0" applyBorder="1"/>
    <xf numFmtId="0" fontId="0" fillId="0" borderId="5" xfId="0" applyBorder="1"/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4" xfId="0" applyBorder="1"/>
    <xf numFmtId="0" fontId="1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33"/>
  <sheetViews>
    <sheetView zoomScale="80" zoomScaleNormal="80" workbookViewId="0">
      <selection activeCell="H8" sqref="H8"/>
    </sheetView>
  </sheetViews>
  <sheetFormatPr baseColWidth="10" defaultRowHeight="15" x14ac:dyDescent="0.25"/>
  <cols>
    <col min="2" max="2" width="3.28515625" customWidth="1"/>
  </cols>
  <sheetData>
    <row r="2" spans="3:8" x14ac:dyDescent="0.25">
      <c r="C2" s="105" t="s">
        <v>211</v>
      </c>
      <c r="D2" s="105"/>
      <c r="E2" s="105" t="s">
        <v>212</v>
      </c>
      <c r="F2" s="105"/>
    </row>
    <row r="3" spans="3:8" x14ac:dyDescent="0.25">
      <c r="C3" s="102" t="s">
        <v>213</v>
      </c>
      <c r="D3" s="102"/>
      <c r="E3" s="107">
        <f>Global!C14</f>
        <v>10504219.522857144</v>
      </c>
      <c r="F3" s="107"/>
      <c r="H3" t="s">
        <v>236</v>
      </c>
    </row>
    <row r="4" spans="3:8" x14ac:dyDescent="0.25">
      <c r="C4" s="102" t="s">
        <v>209</v>
      </c>
      <c r="D4" s="102"/>
      <c r="E4" s="107">
        <f>E3*0.05</f>
        <v>525210.97614285722</v>
      </c>
      <c r="F4" s="107"/>
      <c r="H4" t="s">
        <v>237</v>
      </c>
    </row>
    <row r="5" spans="3:8" x14ac:dyDescent="0.25">
      <c r="C5" s="102" t="s">
        <v>210</v>
      </c>
      <c r="D5" s="102"/>
      <c r="E5" s="107">
        <f>E3*0.2</f>
        <v>2100843.9045714289</v>
      </c>
      <c r="F5" s="107"/>
    </row>
    <row r="6" spans="3:8" x14ac:dyDescent="0.25">
      <c r="C6" s="106" t="s">
        <v>208</v>
      </c>
      <c r="D6" s="106"/>
      <c r="E6" s="107">
        <f>SUM(E3:F5)</f>
        <v>13130274.403571431</v>
      </c>
      <c r="F6" s="106"/>
    </row>
    <row r="9" spans="3:8" x14ac:dyDescent="0.25">
      <c r="C9" s="105" t="s">
        <v>214</v>
      </c>
      <c r="D9" s="105"/>
      <c r="E9" s="105" t="s">
        <v>212</v>
      </c>
      <c r="F9" s="105"/>
    </row>
    <row r="10" spans="3:8" x14ac:dyDescent="0.25">
      <c r="C10" s="105" t="s">
        <v>215</v>
      </c>
      <c r="D10" s="105"/>
      <c r="E10" s="104">
        <f>Global!P5</f>
        <v>9171821.4428571444</v>
      </c>
      <c r="F10" s="104"/>
    </row>
    <row r="11" spans="3:8" x14ac:dyDescent="0.25">
      <c r="C11" s="105" t="s">
        <v>216</v>
      </c>
      <c r="D11" s="105"/>
      <c r="E11" s="104">
        <f>Global!P6</f>
        <v>469722</v>
      </c>
      <c r="F11" s="104"/>
    </row>
    <row r="12" spans="3:8" x14ac:dyDescent="0.25">
      <c r="C12" s="105" t="s">
        <v>217</v>
      </c>
      <c r="D12" s="105"/>
      <c r="E12" s="104">
        <f>Global!P7</f>
        <v>118800</v>
      </c>
      <c r="F12" s="104"/>
    </row>
    <row r="13" spans="3:8" x14ac:dyDescent="0.25">
      <c r="C13" s="105" t="s">
        <v>218</v>
      </c>
      <c r="D13" s="105"/>
      <c r="E13" s="104">
        <f>Global!P8</f>
        <v>230400</v>
      </c>
      <c r="F13" s="104"/>
    </row>
    <row r="14" spans="3:8" x14ac:dyDescent="0.25">
      <c r="C14" s="105" t="s">
        <v>219</v>
      </c>
      <c r="D14" s="105"/>
      <c r="E14" s="104">
        <f>Global!P9</f>
        <v>158945.5</v>
      </c>
      <c r="F14" s="104"/>
    </row>
    <row r="15" spans="3:8" x14ac:dyDescent="0.25">
      <c r="C15" s="105" t="s">
        <v>220</v>
      </c>
      <c r="D15" s="105"/>
      <c r="E15" s="104">
        <f>Global!P10</f>
        <v>60640.58</v>
      </c>
      <c r="F15" s="104"/>
    </row>
    <row r="16" spans="3:8" x14ac:dyDescent="0.25">
      <c r="C16" s="105" t="s">
        <v>221</v>
      </c>
      <c r="D16" s="105"/>
      <c r="E16" s="104">
        <f>Global!P11</f>
        <v>263890</v>
      </c>
      <c r="F16" s="104"/>
    </row>
    <row r="19" spans="2:14" x14ac:dyDescent="0.25">
      <c r="C19" t="s">
        <v>226</v>
      </c>
    </row>
    <row r="20" spans="2:14" x14ac:dyDescent="0.25">
      <c r="B20" s="2">
        <v>1</v>
      </c>
      <c r="C20" s="103" t="s">
        <v>227</v>
      </c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</row>
    <row r="21" spans="2:14" x14ac:dyDescent="0.25">
      <c r="B21" s="1"/>
      <c r="C21" s="102" t="s">
        <v>228</v>
      </c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</row>
    <row r="22" spans="2:14" x14ac:dyDescent="0.25">
      <c r="B22" s="1"/>
    </row>
    <row r="23" spans="2:14" x14ac:dyDescent="0.25">
      <c r="B23" s="26">
        <v>2</v>
      </c>
      <c r="C23" s="102" t="s">
        <v>229</v>
      </c>
      <c r="D23" s="102"/>
      <c r="E23" s="102"/>
      <c r="F23" s="102"/>
      <c r="G23" s="102"/>
      <c r="H23" s="102"/>
      <c r="I23" s="102"/>
      <c r="J23" s="102"/>
      <c r="K23" s="102"/>
      <c r="L23" s="102"/>
      <c r="M23" s="102"/>
      <c r="N23" s="102"/>
    </row>
    <row r="24" spans="2:14" x14ac:dyDescent="0.25">
      <c r="B24" s="1"/>
      <c r="C24" s="102" t="s">
        <v>230</v>
      </c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</row>
    <row r="25" spans="2:14" x14ac:dyDescent="0.25">
      <c r="B25" s="1"/>
    </row>
    <row r="26" spans="2:14" x14ac:dyDescent="0.25">
      <c r="B26" s="26">
        <v>3</v>
      </c>
      <c r="C26" s="102" t="s">
        <v>231</v>
      </c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</row>
    <row r="27" spans="2:14" x14ac:dyDescent="0.25">
      <c r="B27" s="1"/>
      <c r="C27" s="102" t="s">
        <v>232</v>
      </c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</row>
    <row r="28" spans="2:14" x14ac:dyDescent="0.25">
      <c r="B28" s="1"/>
    </row>
    <row r="29" spans="2:14" x14ac:dyDescent="0.25">
      <c r="B29" s="26">
        <v>4</v>
      </c>
      <c r="C29" s="102" t="s">
        <v>233</v>
      </c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</row>
    <row r="30" spans="2:14" x14ac:dyDescent="0.25">
      <c r="B30" s="1"/>
      <c r="C30" s="102" t="s">
        <v>234</v>
      </c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</row>
    <row r="31" spans="2:14" x14ac:dyDescent="0.25">
      <c r="B31" s="1"/>
    </row>
    <row r="32" spans="2:14" x14ac:dyDescent="0.25">
      <c r="B32" s="26">
        <v>5</v>
      </c>
      <c r="C32" s="102" t="s">
        <v>235</v>
      </c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</row>
    <row r="33" spans="3:14" x14ac:dyDescent="0.25"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</row>
  </sheetData>
  <mergeCells count="36">
    <mergeCell ref="C2:D2"/>
    <mergeCell ref="E2:F2"/>
    <mergeCell ref="E3:F3"/>
    <mergeCell ref="E4:F4"/>
    <mergeCell ref="E5:F5"/>
    <mergeCell ref="C11:D11"/>
    <mergeCell ref="C12:D12"/>
    <mergeCell ref="C3:D3"/>
    <mergeCell ref="C4:D4"/>
    <mergeCell ref="C5:D5"/>
    <mergeCell ref="E9:F9"/>
    <mergeCell ref="E10:F10"/>
    <mergeCell ref="C6:D6"/>
    <mergeCell ref="E6:F6"/>
    <mergeCell ref="C9:D9"/>
    <mergeCell ref="C10:D10"/>
    <mergeCell ref="E16:F16"/>
    <mergeCell ref="C13:D13"/>
    <mergeCell ref="C14:D14"/>
    <mergeCell ref="C15:D15"/>
    <mergeCell ref="C16:D16"/>
    <mergeCell ref="E11:F11"/>
    <mergeCell ref="E12:F12"/>
    <mergeCell ref="E13:F13"/>
    <mergeCell ref="E14:F14"/>
    <mergeCell ref="E15:F15"/>
    <mergeCell ref="C33:N33"/>
    <mergeCell ref="C20:N20"/>
    <mergeCell ref="C21:N21"/>
    <mergeCell ref="C23:N23"/>
    <mergeCell ref="C24:N24"/>
    <mergeCell ref="C26:N26"/>
    <mergeCell ref="C27:N27"/>
    <mergeCell ref="C29:N29"/>
    <mergeCell ref="C30:N30"/>
    <mergeCell ref="C32:N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24"/>
  <sheetViews>
    <sheetView tabSelected="1" zoomScale="120" zoomScaleNormal="120" workbookViewId="0">
      <selection activeCell="F13" sqref="F13"/>
    </sheetView>
  </sheetViews>
  <sheetFormatPr baseColWidth="10" defaultRowHeight="15" x14ac:dyDescent="0.25"/>
  <cols>
    <col min="1" max="1" width="9.42578125" customWidth="1"/>
    <col min="2" max="2" width="3.140625" customWidth="1"/>
    <col min="3" max="3" width="31.5703125" customWidth="1"/>
    <col min="4" max="4" width="16.5703125" customWidth="1"/>
    <col min="5" max="15" width="12.5703125" customWidth="1"/>
  </cols>
  <sheetData>
    <row r="2" spans="2:17" x14ac:dyDescent="0.25">
      <c r="B2" s="112" t="s">
        <v>79</v>
      </c>
      <c r="C2" s="113"/>
      <c r="D2" s="114"/>
      <c r="E2" s="70"/>
      <c r="F2" s="70"/>
    </row>
    <row r="3" spans="2:17" x14ac:dyDescent="0.25">
      <c r="D3" s="68" t="s">
        <v>180</v>
      </c>
      <c r="E3" s="68" t="s">
        <v>180</v>
      </c>
      <c r="F3" s="68" t="s">
        <v>180</v>
      </c>
      <c r="G3" s="68" t="s">
        <v>180</v>
      </c>
      <c r="H3" s="68" t="s">
        <v>180</v>
      </c>
      <c r="I3" s="68" t="s">
        <v>180</v>
      </c>
      <c r="J3" s="68" t="s">
        <v>180</v>
      </c>
      <c r="K3" s="68" t="s">
        <v>180</v>
      </c>
      <c r="L3" s="68" t="s">
        <v>180</v>
      </c>
      <c r="M3" s="68" t="s">
        <v>180</v>
      </c>
      <c r="N3" s="68" t="s">
        <v>180</v>
      </c>
      <c r="O3" s="68" t="s">
        <v>180</v>
      </c>
      <c r="P3" s="105" t="s">
        <v>225</v>
      </c>
      <c r="Q3" s="105"/>
    </row>
    <row r="4" spans="2:17" x14ac:dyDescent="0.25">
      <c r="C4" s="2" t="s">
        <v>69</v>
      </c>
      <c r="D4" s="69">
        <v>1</v>
      </c>
      <c r="E4" s="69">
        <v>2</v>
      </c>
      <c r="F4" s="69">
        <v>3</v>
      </c>
      <c r="G4" s="69">
        <v>4</v>
      </c>
      <c r="H4" s="69">
        <v>5</v>
      </c>
      <c r="I4" s="69">
        <v>6</v>
      </c>
      <c r="J4" s="69">
        <v>7</v>
      </c>
      <c r="K4" s="69">
        <v>8</v>
      </c>
      <c r="L4" s="69">
        <v>9</v>
      </c>
      <c r="M4" s="69">
        <v>10</v>
      </c>
      <c r="N4" s="69">
        <v>11</v>
      </c>
      <c r="O4" s="69">
        <v>12</v>
      </c>
      <c r="P4" s="109" t="s">
        <v>224</v>
      </c>
      <c r="Q4" s="109"/>
    </row>
    <row r="5" spans="2:17" x14ac:dyDescent="0.25">
      <c r="B5" s="2">
        <v>1</v>
      </c>
      <c r="C5" s="2" t="s">
        <v>16</v>
      </c>
      <c r="D5" s="67">
        <f>'1-Desglozar Nomina'!$D$56</f>
        <v>764318.45357142866</v>
      </c>
      <c r="E5" s="67">
        <f>'1-Desglozar Nomina'!$D$56</f>
        <v>764318.45357142866</v>
      </c>
      <c r="F5" s="67">
        <f>'1-Desglozar Nomina'!$D$56</f>
        <v>764318.45357142866</v>
      </c>
      <c r="G5" s="67">
        <f>'1-Desglozar Nomina'!$D$56</f>
        <v>764318.45357142866</v>
      </c>
      <c r="H5" s="67">
        <f>'1-Desglozar Nomina'!$D$56</f>
        <v>764318.45357142866</v>
      </c>
      <c r="I5" s="67">
        <f>'1-Desglozar Nomina'!$D$56</f>
        <v>764318.45357142866</v>
      </c>
      <c r="J5" s="67">
        <f>'1-Desglozar Nomina'!$D$56</f>
        <v>764318.45357142866</v>
      </c>
      <c r="K5" s="67">
        <f>'1-Desglozar Nomina'!$D$56</f>
        <v>764318.45357142866</v>
      </c>
      <c r="L5" s="67">
        <f>'1-Desglozar Nomina'!$D$56</f>
        <v>764318.45357142866</v>
      </c>
      <c r="M5" s="67">
        <f>'1-Desglozar Nomina'!$D$56</f>
        <v>764318.45357142866</v>
      </c>
      <c r="N5" s="67">
        <f>'1-Desglozar Nomina'!$D$56</f>
        <v>764318.45357142866</v>
      </c>
      <c r="O5" s="67">
        <f>'1-Desglozar Nomina'!$D$56</f>
        <v>764318.45357142866</v>
      </c>
      <c r="P5" s="110">
        <f>SUM(D5:O5)</f>
        <v>9171821.4428571444</v>
      </c>
      <c r="Q5" s="111"/>
    </row>
    <row r="6" spans="2:17" x14ac:dyDescent="0.25">
      <c r="B6" s="2">
        <v>2</v>
      </c>
      <c r="C6" s="2" t="s">
        <v>68</v>
      </c>
      <c r="D6" s="3">
        <f>'2-Traslados'!$E$60</f>
        <v>39143.5</v>
      </c>
      <c r="E6" s="3">
        <f>'2-Traslados'!$E$60</f>
        <v>39143.5</v>
      </c>
      <c r="F6" s="3">
        <f>'2-Traslados'!$E$60</f>
        <v>39143.5</v>
      </c>
      <c r="G6" s="3">
        <f>'2-Traslados'!$E$60</f>
        <v>39143.5</v>
      </c>
      <c r="H6" s="3">
        <f>'2-Traslados'!$E$60</f>
        <v>39143.5</v>
      </c>
      <c r="I6" s="3">
        <f>'2-Traslados'!$E$60</f>
        <v>39143.5</v>
      </c>
      <c r="J6" s="3">
        <f>'2-Traslados'!$E$60</f>
        <v>39143.5</v>
      </c>
      <c r="K6" s="3">
        <f>'2-Traslados'!$E$60</f>
        <v>39143.5</v>
      </c>
      <c r="L6" s="3">
        <f>'2-Traslados'!$E$60</f>
        <v>39143.5</v>
      </c>
      <c r="M6" s="3">
        <f>'2-Traslados'!$E$60</f>
        <v>39143.5</v>
      </c>
      <c r="N6" s="3">
        <f>'2-Traslados'!$E$60</f>
        <v>39143.5</v>
      </c>
      <c r="O6" s="3">
        <f>'2-Traslados'!$E$60</f>
        <v>39143.5</v>
      </c>
      <c r="P6" s="110">
        <f t="shared" ref="P6:P11" si="0">SUM(D6:O6)</f>
        <v>469722</v>
      </c>
      <c r="Q6" s="111"/>
    </row>
    <row r="7" spans="2:17" x14ac:dyDescent="0.25">
      <c r="B7" s="2">
        <v>3</v>
      </c>
      <c r="C7" s="2" t="s">
        <v>70</v>
      </c>
      <c r="D7" s="3">
        <f>'3-DC-3 MED-DOPAJE'!F28</f>
        <v>118800</v>
      </c>
      <c r="E7" s="3" t="s">
        <v>181</v>
      </c>
      <c r="F7" s="3" t="s">
        <v>181</v>
      </c>
      <c r="G7" s="3" t="s">
        <v>181</v>
      </c>
      <c r="H7" s="3" t="s">
        <v>181</v>
      </c>
      <c r="I7" s="3" t="s">
        <v>181</v>
      </c>
      <c r="J7" s="3" t="s">
        <v>181</v>
      </c>
      <c r="K7" s="3" t="s">
        <v>181</v>
      </c>
      <c r="L7" s="3" t="s">
        <v>181</v>
      </c>
      <c r="M7" s="3" t="s">
        <v>181</v>
      </c>
      <c r="N7" s="3" t="s">
        <v>181</v>
      </c>
      <c r="O7" s="3" t="s">
        <v>181</v>
      </c>
      <c r="P7" s="110">
        <f t="shared" si="0"/>
        <v>118800</v>
      </c>
      <c r="Q7" s="111"/>
    </row>
    <row r="8" spans="2:17" x14ac:dyDescent="0.25">
      <c r="B8" s="2">
        <v>4</v>
      </c>
      <c r="C8" s="2" t="s">
        <v>71</v>
      </c>
      <c r="D8" s="3">
        <f>'4-UNIFORMES'!F34</f>
        <v>115200</v>
      </c>
      <c r="E8" s="3" t="s">
        <v>181</v>
      </c>
      <c r="F8" s="3" t="s">
        <v>181</v>
      </c>
      <c r="G8" s="3" t="s">
        <v>181</v>
      </c>
      <c r="H8" s="3" t="s">
        <v>181</v>
      </c>
      <c r="I8" s="3">
        <f>D8</f>
        <v>115200</v>
      </c>
      <c r="J8" s="3" t="s">
        <v>181</v>
      </c>
      <c r="K8" s="3" t="s">
        <v>181</v>
      </c>
      <c r="L8" s="3" t="s">
        <v>181</v>
      </c>
      <c r="M8" s="3" t="s">
        <v>181</v>
      </c>
      <c r="N8" s="3" t="s">
        <v>181</v>
      </c>
      <c r="O8" s="3" t="s">
        <v>181</v>
      </c>
      <c r="P8" s="110">
        <f t="shared" si="0"/>
        <v>230400</v>
      </c>
      <c r="Q8" s="111"/>
    </row>
    <row r="9" spans="2:17" x14ac:dyDescent="0.25">
      <c r="B9" s="2">
        <v>5</v>
      </c>
      <c r="C9" s="2" t="s">
        <v>72</v>
      </c>
      <c r="D9" s="3">
        <f>'5-HERRAMIENTAS'!D76:E76</f>
        <v>94410</v>
      </c>
      <c r="E9" s="3">
        <f>'5-HERRAMIENTAS'!$D$77</f>
        <v>5530.5</v>
      </c>
      <c r="F9" s="3">
        <f>'5-HERRAMIENTAS'!$D$77</f>
        <v>5530.5</v>
      </c>
      <c r="G9" s="3">
        <f>'5-HERRAMIENTAS'!$D$77</f>
        <v>5530.5</v>
      </c>
      <c r="H9" s="3">
        <f>'5-HERRAMIENTAS'!$D$77</f>
        <v>5530.5</v>
      </c>
      <c r="I9" s="3">
        <f>'5-HERRAMIENTAS'!D81</f>
        <v>9230.5</v>
      </c>
      <c r="J9" s="3">
        <f>'5-HERRAMIENTAS'!$D$77</f>
        <v>5530.5</v>
      </c>
      <c r="K9" s="3">
        <f>'5-HERRAMIENTAS'!$D$77</f>
        <v>5530.5</v>
      </c>
      <c r="L9" s="3">
        <f>'5-HERRAMIENTAS'!$D$77</f>
        <v>5530.5</v>
      </c>
      <c r="M9" s="3">
        <f>'5-HERRAMIENTAS'!$D$77</f>
        <v>5530.5</v>
      </c>
      <c r="N9" s="3">
        <f>'5-HERRAMIENTAS'!$D$77</f>
        <v>5530.5</v>
      </c>
      <c r="O9" s="3">
        <f>'5-HERRAMIENTAS'!$D$77</f>
        <v>5530.5</v>
      </c>
      <c r="P9" s="110">
        <f t="shared" si="0"/>
        <v>158945.5</v>
      </c>
      <c r="Q9" s="111"/>
    </row>
    <row r="10" spans="2:17" x14ac:dyDescent="0.25">
      <c r="B10" s="2">
        <v>6</v>
      </c>
      <c r="C10" s="2" t="s">
        <v>73</v>
      </c>
      <c r="D10" s="3">
        <f>'6-EPP'!D80</f>
        <v>24700.67</v>
      </c>
      <c r="E10" s="3">
        <f>'6-EPP'!D81</f>
        <v>2015.9999999999998</v>
      </c>
      <c r="F10" s="3">
        <f>'6-EPP'!D82</f>
        <v>2015.9999999999998</v>
      </c>
      <c r="G10" s="3">
        <f>'6-EPP'!D83</f>
        <v>4331.9699999999993</v>
      </c>
      <c r="H10" s="3">
        <f>'6-EPP'!D84</f>
        <v>2015.9999999999998</v>
      </c>
      <c r="I10" s="3">
        <f>'6-EPP'!D85</f>
        <v>8832</v>
      </c>
      <c r="J10" s="3">
        <f>'6-EPP'!D86</f>
        <v>2015.9999999999998</v>
      </c>
      <c r="K10" s="3">
        <f>'6-EPP'!D87</f>
        <v>4331.9699999999993</v>
      </c>
      <c r="L10" s="3">
        <f>'6-EPP'!D88</f>
        <v>2015.9999999999998</v>
      </c>
      <c r="M10" s="3">
        <f>'6-EPP'!D89</f>
        <v>2015.9999999999998</v>
      </c>
      <c r="N10" s="3">
        <f>'6-EPP'!D90</f>
        <v>2015.9999999999998</v>
      </c>
      <c r="O10" s="3">
        <f>'6-EPP'!D91</f>
        <v>4331.9699999999993</v>
      </c>
      <c r="P10" s="110">
        <f t="shared" si="0"/>
        <v>60640.58</v>
      </c>
      <c r="Q10" s="111"/>
    </row>
    <row r="11" spans="2:17" x14ac:dyDescent="0.25">
      <c r="B11" s="40">
        <v>7</v>
      </c>
      <c r="C11" s="40" t="s">
        <v>74</v>
      </c>
      <c r="D11" s="3">
        <f>'7-Cuatrimotos'!F34</f>
        <v>22000</v>
      </c>
      <c r="E11" s="3">
        <f>'7-Cuatrimotos'!$C$40</f>
        <v>21990</v>
      </c>
      <c r="F11" s="3">
        <f>'7-Cuatrimotos'!$C$40</f>
        <v>21990</v>
      </c>
      <c r="G11" s="3">
        <f>'7-Cuatrimotos'!$C$40</f>
        <v>21990</v>
      </c>
      <c r="H11" s="3">
        <f>'7-Cuatrimotos'!$C$40</f>
        <v>21990</v>
      </c>
      <c r="I11" s="3">
        <f>'7-Cuatrimotos'!$C$40</f>
        <v>21990</v>
      </c>
      <c r="J11" s="3">
        <f>'7-Cuatrimotos'!$C$40</f>
        <v>21990</v>
      </c>
      <c r="K11" s="3">
        <f>'7-Cuatrimotos'!$C$40</f>
        <v>21990</v>
      </c>
      <c r="L11" s="3">
        <f>'7-Cuatrimotos'!$C$40</f>
        <v>21990</v>
      </c>
      <c r="M11" s="3">
        <f>'7-Cuatrimotos'!$C$40</f>
        <v>21990</v>
      </c>
      <c r="N11" s="3">
        <f>'7-Cuatrimotos'!$C$40</f>
        <v>21990</v>
      </c>
      <c r="O11" s="3">
        <f>'7-Cuatrimotos'!$C$40</f>
        <v>21990</v>
      </c>
      <c r="P11" s="110">
        <f t="shared" si="0"/>
        <v>263890</v>
      </c>
      <c r="Q11" s="111"/>
    </row>
    <row r="12" spans="2:17" x14ac:dyDescent="0.25">
      <c r="B12" s="2" t="s">
        <v>77</v>
      </c>
      <c r="C12" s="2" t="s">
        <v>5</v>
      </c>
      <c r="D12" s="3">
        <f>SUM(D5:D11)</f>
        <v>1178572.6235714285</v>
      </c>
      <c r="E12" s="3">
        <f t="shared" ref="E12:O12" si="1">SUM(E5:E11)</f>
        <v>832998.45357142866</v>
      </c>
      <c r="F12" s="3">
        <f t="shared" si="1"/>
        <v>832998.45357142866</v>
      </c>
      <c r="G12" s="3">
        <f t="shared" si="1"/>
        <v>835314.42357142863</v>
      </c>
      <c r="H12" s="3">
        <f t="shared" si="1"/>
        <v>832998.45357142866</v>
      </c>
      <c r="I12" s="3">
        <f t="shared" si="1"/>
        <v>958714.45357142866</v>
      </c>
      <c r="J12" s="3">
        <f t="shared" si="1"/>
        <v>832998.45357142866</v>
      </c>
      <c r="K12" s="3">
        <f t="shared" si="1"/>
        <v>835314.42357142863</v>
      </c>
      <c r="L12" s="3">
        <f t="shared" si="1"/>
        <v>832998.45357142866</v>
      </c>
      <c r="M12" s="3">
        <f t="shared" si="1"/>
        <v>832998.45357142866</v>
      </c>
      <c r="N12" s="3">
        <f t="shared" si="1"/>
        <v>832998.45357142866</v>
      </c>
      <c r="O12" s="3">
        <f t="shared" si="1"/>
        <v>835314.42357142863</v>
      </c>
      <c r="P12" s="109"/>
      <c r="Q12" s="109"/>
    </row>
    <row r="13" spans="2:17" x14ac:dyDescent="0.25">
      <c r="C13" s="66" t="s">
        <v>182</v>
      </c>
    </row>
    <row r="14" spans="2:17" x14ac:dyDescent="0.25">
      <c r="C14" s="68">
        <f>SUM(D12:O12)+D15</f>
        <v>10504219.522857144</v>
      </c>
    </row>
    <row r="15" spans="2:17" x14ac:dyDescent="0.25">
      <c r="C15" s="58" t="s">
        <v>253</v>
      </c>
      <c r="D15" s="101">
        <v>30000</v>
      </c>
    </row>
    <row r="19" spans="2:5" x14ac:dyDescent="0.25">
      <c r="B19" s="115">
        <v>8</v>
      </c>
      <c r="C19" s="117" t="s">
        <v>75</v>
      </c>
      <c r="D19" s="72">
        <v>0.03</v>
      </c>
      <c r="E19" s="74"/>
    </row>
    <row r="20" spans="2:5" x14ac:dyDescent="0.25">
      <c r="B20" s="115"/>
      <c r="C20" s="117"/>
      <c r="D20" s="65">
        <f>C14*D19</f>
        <v>315126.58568571432</v>
      </c>
      <c r="E20" s="75"/>
    </row>
    <row r="21" spans="2:5" x14ac:dyDescent="0.25">
      <c r="B21" s="116">
        <v>9</v>
      </c>
      <c r="C21" s="118" t="s">
        <v>76</v>
      </c>
      <c r="D21" s="72">
        <v>0.2</v>
      </c>
      <c r="E21" s="74"/>
    </row>
    <row r="22" spans="2:5" x14ac:dyDescent="0.25">
      <c r="B22" s="116"/>
      <c r="C22" s="118"/>
      <c r="D22" s="73">
        <f>C14*D21</f>
        <v>2100843.9045714289</v>
      </c>
      <c r="E22" s="75"/>
    </row>
    <row r="23" spans="2:5" x14ac:dyDescent="0.25">
      <c r="B23" s="59">
        <v>10</v>
      </c>
      <c r="C23" s="76" t="s">
        <v>41</v>
      </c>
      <c r="D23" s="108" t="s">
        <v>78</v>
      </c>
      <c r="E23" s="108"/>
    </row>
    <row r="24" spans="2:5" x14ac:dyDescent="0.25">
      <c r="B24" s="58"/>
      <c r="C24" s="65">
        <f>C14+D20+D22</f>
        <v>12920190.013114288</v>
      </c>
      <c r="D24" s="104">
        <f>C24*1.16</f>
        <v>14987420.415212573</v>
      </c>
      <c r="E24" s="104"/>
    </row>
  </sheetData>
  <mergeCells count="17">
    <mergeCell ref="B2:D2"/>
    <mergeCell ref="B19:B20"/>
    <mergeCell ref="B21:B22"/>
    <mergeCell ref="C19:C20"/>
    <mergeCell ref="C21:C22"/>
    <mergeCell ref="P3:Q3"/>
    <mergeCell ref="D23:E23"/>
    <mergeCell ref="D24:E24"/>
    <mergeCell ref="P4:Q4"/>
    <mergeCell ref="P5:Q5"/>
    <mergeCell ref="P6:Q6"/>
    <mergeCell ref="P7:Q7"/>
    <mergeCell ref="P8:Q8"/>
    <mergeCell ref="P9:Q9"/>
    <mergeCell ref="P10:Q10"/>
    <mergeCell ref="P11:Q11"/>
    <mergeCell ref="P12:Q1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"/>
  <sheetViews>
    <sheetView topLeftCell="A31" zoomScaleNormal="100" workbookViewId="0">
      <selection activeCell="B37" sqref="B37"/>
    </sheetView>
  </sheetViews>
  <sheetFormatPr baseColWidth="10" defaultRowHeight="15" x14ac:dyDescent="0.25"/>
  <cols>
    <col min="3" max="3" width="16" customWidth="1"/>
    <col min="4" max="4" width="18.85546875" customWidth="1"/>
    <col min="5" max="5" width="15.42578125" customWidth="1"/>
    <col min="6" max="6" width="14.140625" customWidth="1"/>
    <col min="9" max="9" width="15.5703125" customWidth="1"/>
    <col min="10" max="10" width="13.42578125" customWidth="1"/>
    <col min="11" max="11" width="12.28515625" customWidth="1"/>
    <col min="12" max="12" width="13.85546875" customWidth="1"/>
  </cols>
  <sheetData>
    <row r="1" spans="1:6" s="89" customFormat="1" x14ac:dyDescent="0.25"/>
    <row r="2" spans="1:6" s="89" customFormat="1" x14ac:dyDescent="0.25"/>
    <row r="3" spans="1:6" s="89" customFormat="1" x14ac:dyDescent="0.25"/>
    <row r="4" spans="1:6" s="89" customFormat="1" x14ac:dyDescent="0.25"/>
    <row r="5" spans="1:6" s="89" customFormat="1" x14ac:dyDescent="0.25"/>
    <row r="7" spans="1:6" x14ac:dyDescent="0.25">
      <c r="A7" s="12">
        <v>1</v>
      </c>
      <c r="B7" s="120" t="s">
        <v>81</v>
      </c>
      <c r="C7" s="121"/>
      <c r="D7" s="121"/>
      <c r="E7" s="121"/>
      <c r="F7" s="122"/>
    </row>
    <row r="8" spans="1:6" x14ac:dyDescent="0.25">
      <c r="B8" s="106" t="s">
        <v>0</v>
      </c>
      <c r="C8" s="106"/>
      <c r="D8" s="1" t="s">
        <v>11</v>
      </c>
    </row>
    <row r="9" spans="1:6" x14ac:dyDescent="0.25">
      <c r="B9" s="2" t="s">
        <v>2</v>
      </c>
      <c r="C9" s="2" t="s">
        <v>1</v>
      </c>
      <c r="D9" s="2" t="s">
        <v>3</v>
      </c>
      <c r="E9" s="2" t="s">
        <v>4</v>
      </c>
      <c r="F9" s="2" t="s">
        <v>5</v>
      </c>
    </row>
    <row r="10" spans="1:6" x14ac:dyDescent="0.25">
      <c r="B10" s="2">
        <v>1</v>
      </c>
      <c r="C10" s="84" t="s">
        <v>6</v>
      </c>
      <c r="D10" s="3">
        <v>6000</v>
      </c>
      <c r="E10" s="3">
        <v>983.35</v>
      </c>
      <c r="F10" s="3">
        <f>(D10+E10)*(B10)</f>
        <v>6983.35</v>
      </c>
    </row>
    <row r="11" spans="1:6" x14ac:dyDescent="0.25">
      <c r="B11" s="2">
        <v>3</v>
      </c>
      <c r="C11" s="84" t="s">
        <v>7</v>
      </c>
      <c r="D11" s="3">
        <v>4800</v>
      </c>
      <c r="E11" s="41">
        <v>983.35</v>
      </c>
      <c r="F11" s="3">
        <f>(D11+E11)*(B11)</f>
        <v>17350.050000000003</v>
      </c>
    </row>
    <row r="12" spans="1:6" x14ac:dyDescent="0.25">
      <c r="B12" s="2">
        <v>2</v>
      </c>
      <c r="C12" s="84" t="s">
        <v>8</v>
      </c>
      <c r="D12" s="3">
        <v>4000</v>
      </c>
      <c r="E12" s="41">
        <v>983.35</v>
      </c>
      <c r="F12" s="3">
        <f t="shared" ref="F12:F14" si="0">(D12+E12)*(B12)</f>
        <v>9966.7000000000007</v>
      </c>
    </row>
    <row r="13" spans="1:6" x14ac:dyDescent="0.25">
      <c r="B13" s="2">
        <v>1</v>
      </c>
      <c r="C13" s="84" t="s">
        <v>9</v>
      </c>
      <c r="D13" s="3">
        <v>4000</v>
      </c>
      <c r="E13" s="41">
        <v>983.35</v>
      </c>
      <c r="F13" s="3">
        <f t="shared" si="0"/>
        <v>4983.3500000000004</v>
      </c>
    </row>
    <row r="14" spans="1:6" x14ac:dyDescent="0.25">
      <c r="B14" s="2">
        <v>20</v>
      </c>
      <c r="C14" s="84" t="s">
        <v>10</v>
      </c>
      <c r="D14" s="3">
        <v>3000</v>
      </c>
      <c r="E14" s="41">
        <v>983.35</v>
      </c>
      <c r="F14" s="3">
        <f t="shared" si="0"/>
        <v>79667</v>
      </c>
    </row>
    <row r="15" spans="1:6" x14ac:dyDescent="0.25">
      <c r="E15" s="8" t="s">
        <v>5</v>
      </c>
      <c r="F15" s="9">
        <f>SUM(F10:F14)</f>
        <v>118950.45000000001</v>
      </c>
    </row>
    <row r="16" spans="1:6" x14ac:dyDescent="0.25">
      <c r="C16" s="4"/>
    </row>
    <row r="17" spans="1:6" x14ac:dyDescent="0.25">
      <c r="C17" s="5"/>
    </row>
    <row r="19" spans="1:6" x14ac:dyDescent="0.25">
      <c r="B19" s="106" t="s">
        <v>113</v>
      </c>
      <c r="C19" s="106"/>
      <c r="D19" s="9">
        <f>F15</f>
        <v>118950.45000000001</v>
      </c>
      <c r="E19" s="8" t="s">
        <v>15</v>
      </c>
      <c r="F19" s="9">
        <f>D19/7</f>
        <v>16992.92142857143</v>
      </c>
    </row>
    <row r="20" spans="1:6" x14ac:dyDescent="0.25">
      <c r="B20" s="8" t="s">
        <v>14</v>
      </c>
      <c r="C20" s="8"/>
      <c r="D20" s="10">
        <f>F19*30.5</f>
        <v>518284.10357142863</v>
      </c>
    </row>
    <row r="23" spans="1:6" x14ac:dyDescent="0.25">
      <c r="A23" s="13">
        <v>2</v>
      </c>
      <c r="B23" s="120" t="s">
        <v>82</v>
      </c>
      <c r="C23" s="121"/>
      <c r="D23" s="121"/>
      <c r="E23" s="121"/>
      <c r="F23" s="122"/>
    </row>
    <row r="24" spans="1:6" x14ac:dyDescent="0.25">
      <c r="B24" s="106" t="s">
        <v>0</v>
      </c>
      <c r="C24" s="106"/>
      <c r="D24" s="2" t="s">
        <v>11</v>
      </c>
    </row>
    <row r="25" spans="1:6" x14ac:dyDescent="0.25">
      <c r="B25" s="2" t="s">
        <v>2</v>
      </c>
      <c r="C25" s="2" t="s">
        <v>1</v>
      </c>
      <c r="D25" s="2" t="s">
        <v>3</v>
      </c>
      <c r="E25" s="2" t="s">
        <v>4</v>
      </c>
      <c r="F25" s="2" t="s">
        <v>5</v>
      </c>
    </row>
    <row r="26" spans="1:6" x14ac:dyDescent="0.25">
      <c r="B26" s="2">
        <v>7</v>
      </c>
      <c r="C26" s="6" t="s">
        <v>10</v>
      </c>
      <c r="D26" s="3">
        <v>3000</v>
      </c>
      <c r="E26" s="41">
        <v>983.35</v>
      </c>
      <c r="F26" s="3">
        <f t="shared" ref="F26" si="1">(D26+E26)*(B26)</f>
        <v>27883.45</v>
      </c>
    </row>
    <row r="27" spans="1:6" x14ac:dyDescent="0.25">
      <c r="E27" s="8" t="s">
        <v>5</v>
      </c>
      <c r="F27" s="9">
        <f>SUM(F26:F26)</f>
        <v>27883.45</v>
      </c>
    </row>
    <row r="29" spans="1:6" x14ac:dyDescent="0.25">
      <c r="B29" s="106" t="s">
        <v>13</v>
      </c>
      <c r="C29" s="106"/>
      <c r="D29" s="9">
        <f>F27</f>
        <v>27883.45</v>
      </c>
      <c r="E29" s="8" t="s">
        <v>15</v>
      </c>
      <c r="F29" s="9">
        <f>D29/7</f>
        <v>3983.35</v>
      </c>
    </row>
    <row r="30" spans="1:6" x14ac:dyDescent="0.25">
      <c r="B30" s="8" t="s">
        <v>14</v>
      </c>
      <c r="C30" s="8"/>
      <c r="D30" s="10">
        <f>F29*30.5</f>
        <v>121492.175</v>
      </c>
    </row>
    <row r="33" spans="1:6" x14ac:dyDescent="0.25">
      <c r="A33" s="14">
        <v>3</v>
      </c>
      <c r="B33" s="120" t="s">
        <v>80</v>
      </c>
      <c r="C33" s="121"/>
      <c r="D33" s="121"/>
      <c r="E33" s="121"/>
      <c r="F33" s="122"/>
    </row>
    <row r="34" spans="1:6" x14ac:dyDescent="0.25">
      <c r="B34" s="106" t="s">
        <v>0</v>
      </c>
      <c r="C34" s="106"/>
      <c r="D34" s="2" t="s">
        <v>11</v>
      </c>
    </row>
    <row r="35" spans="1:6" x14ac:dyDescent="0.25">
      <c r="B35" s="2" t="s">
        <v>2</v>
      </c>
      <c r="C35" s="2" t="s">
        <v>1</v>
      </c>
      <c r="D35" s="2" t="s">
        <v>3</v>
      </c>
      <c r="E35" s="2" t="s">
        <v>4</v>
      </c>
      <c r="F35" s="2" t="s">
        <v>5</v>
      </c>
    </row>
    <row r="36" spans="1:6" x14ac:dyDescent="0.25">
      <c r="B36" s="2">
        <v>6</v>
      </c>
      <c r="C36" s="6" t="s">
        <v>10</v>
      </c>
      <c r="D36" s="3">
        <v>3000</v>
      </c>
      <c r="E36" s="41">
        <v>983.35</v>
      </c>
      <c r="F36" s="3">
        <f t="shared" ref="F36" si="2">(D36+E36)*(B36)</f>
        <v>23900.1</v>
      </c>
    </row>
    <row r="37" spans="1:6" x14ac:dyDescent="0.25">
      <c r="E37" s="8" t="s">
        <v>5</v>
      </c>
      <c r="F37" s="9">
        <f>SUM(F36:F36)</f>
        <v>23900.1</v>
      </c>
    </row>
    <row r="39" spans="1:6" x14ac:dyDescent="0.25">
      <c r="A39" t="s">
        <v>243</v>
      </c>
      <c r="B39" s="106" t="s">
        <v>13</v>
      </c>
      <c r="C39" s="106"/>
      <c r="D39" s="9">
        <f>F37</f>
        <v>23900.1</v>
      </c>
      <c r="E39" s="8" t="s">
        <v>15</v>
      </c>
      <c r="F39" s="9">
        <f>D39/7</f>
        <v>3414.2999999999997</v>
      </c>
    </row>
    <row r="40" spans="1:6" x14ac:dyDescent="0.25">
      <c r="B40" s="8" t="s">
        <v>14</v>
      </c>
      <c r="C40" s="8"/>
      <c r="D40" s="10">
        <f>F39*30.5</f>
        <v>104136.15</v>
      </c>
    </row>
    <row r="41" spans="1:6" s="28" customFormat="1" x14ac:dyDescent="0.25">
      <c r="B41" s="90"/>
      <c r="C41" s="90"/>
      <c r="D41" s="91"/>
    </row>
    <row r="42" spans="1:6" s="28" customFormat="1" x14ac:dyDescent="0.25">
      <c r="B42" s="90"/>
      <c r="C42" s="90"/>
      <c r="D42" s="91"/>
    </row>
    <row r="43" spans="1:6" s="28" customFormat="1" x14ac:dyDescent="0.25">
      <c r="B43" s="120" t="s">
        <v>80</v>
      </c>
      <c r="C43" s="121"/>
      <c r="D43" s="121"/>
      <c r="E43" s="121"/>
      <c r="F43" s="122"/>
    </row>
    <row r="44" spans="1:6" s="28" customFormat="1" x14ac:dyDescent="0.25">
      <c r="B44" s="106" t="s">
        <v>0</v>
      </c>
      <c r="C44" s="106"/>
      <c r="D44" s="7" t="s">
        <v>11</v>
      </c>
    </row>
    <row r="45" spans="1:6" s="28" customFormat="1" x14ac:dyDescent="0.25">
      <c r="B45" s="7" t="s">
        <v>2</v>
      </c>
      <c r="C45" s="7" t="s">
        <v>1</v>
      </c>
      <c r="D45" s="7" t="s">
        <v>3</v>
      </c>
      <c r="E45" s="7" t="s">
        <v>4</v>
      </c>
      <c r="F45" s="7" t="s">
        <v>5</v>
      </c>
    </row>
    <row r="46" spans="1:6" s="28" customFormat="1" x14ac:dyDescent="0.25">
      <c r="B46" s="7">
        <v>1</v>
      </c>
      <c r="C46" s="30" t="s">
        <v>12</v>
      </c>
      <c r="D46" s="41">
        <v>2500</v>
      </c>
      <c r="E46" s="41">
        <v>983.35</v>
      </c>
      <c r="F46" s="41">
        <f t="shared" ref="F46" si="3">(D46+E46)*(B46)</f>
        <v>3483.35</v>
      </c>
    </row>
    <row r="47" spans="1:6" x14ac:dyDescent="0.25">
      <c r="B47" s="28"/>
      <c r="C47" s="28"/>
      <c r="D47" s="28"/>
      <c r="E47" s="29" t="s">
        <v>5</v>
      </c>
      <c r="F47" s="9">
        <f>SUM(F46:F46)</f>
        <v>3483.35</v>
      </c>
    </row>
    <row r="48" spans="1:6" s="28" customFormat="1" x14ac:dyDescent="0.25"/>
    <row r="49" spans="2:17" x14ac:dyDescent="0.25">
      <c r="C49" t="s">
        <v>114</v>
      </c>
    </row>
    <row r="50" spans="2:17" x14ac:dyDescent="0.25">
      <c r="C50" s="123" t="s">
        <v>42</v>
      </c>
      <c r="D50" s="123"/>
      <c r="E50" s="38">
        <f>D20+D30+D40</f>
        <v>743912.42857142864</v>
      </c>
    </row>
    <row r="51" spans="2:17" x14ac:dyDescent="0.25">
      <c r="E51" s="4">
        <f>E50+F47</f>
        <v>747395.77857142861</v>
      </c>
    </row>
    <row r="64" spans="2:17" x14ac:dyDescent="0.25">
      <c r="B64" s="119" t="s">
        <v>120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</sheetData>
  <mergeCells count="13">
    <mergeCell ref="B19:C19"/>
    <mergeCell ref="B29:C29"/>
    <mergeCell ref="B8:C8"/>
    <mergeCell ref="B7:F7"/>
    <mergeCell ref="B23:F23"/>
    <mergeCell ref="B64:Q64"/>
    <mergeCell ref="B33:F33"/>
    <mergeCell ref="B39:C39"/>
    <mergeCell ref="B34:C34"/>
    <mergeCell ref="B24:C24"/>
    <mergeCell ref="C50:D50"/>
    <mergeCell ref="B43:F43"/>
    <mergeCell ref="B44:C4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64"/>
  <sheetViews>
    <sheetView zoomScaleNormal="100" workbookViewId="0">
      <selection activeCell="F13" sqref="F13"/>
    </sheetView>
  </sheetViews>
  <sheetFormatPr baseColWidth="10" defaultColWidth="10.85546875" defaultRowHeight="15" x14ac:dyDescent="0.25"/>
  <cols>
    <col min="1" max="2" width="10.85546875" style="89"/>
    <col min="3" max="3" width="16" style="89" customWidth="1"/>
    <col min="4" max="4" width="18.85546875" style="89" customWidth="1"/>
    <col min="5" max="5" width="15.42578125" style="89" customWidth="1"/>
    <col min="6" max="6" width="14.140625" style="89" customWidth="1"/>
    <col min="7" max="7" width="14.5703125" style="89" customWidth="1"/>
    <col min="8" max="8" width="10.85546875" style="89"/>
    <col min="9" max="9" width="15.5703125" style="89" customWidth="1"/>
    <col min="10" max="10" width="13.42578125" style="89" customWidth="1"/>
    <col min="11" max="11" width="12.28515625" style="89" customWidth="1"/>
    <col min="12" max="12" width="13.85546875" style="89" customWidth="1"/>
    <col min="13" max="16384" width="10.85546875" style="89"/>
  </cols>
  <sheetData>
    <row r="5" spans="1:9" x14ac:dyDescent="0.25">
      <c r="D5" s="87"/>
    </row>
    <row r="7" spans="1:9" x14ac:dyDescent="0.25">
      <c r="A7" s="12">
        <v>1</v>
      </c>
      <c r="B7" s="120" t="s">
        <v>81</v>
      </c>
      <c r="C7" s="121"/>
      <c r="D7" s="124"/>
      <c r="E7" s="124"/>
      <c r="F7" s="125"/>
    </row>
    <row r="8" spans="1:9" x14ac:dyDescent="0.25">
      <c r="B8" s="106" t="s">
        <v>0</v>
      </c>
      <c r="C8" s="106"/>
      <c r="D8" s="106" t="s">
        <v>249</v>
      </c>
      <c r="E8" s="106"/>
      <c r="F8" s="106"/>
      <c r="G8" s="106"/>
      <c r="H8" s="106"/>
      <c r="I8" s="106"/>
    </row>
    <row r="9" spans="1:9" x14ac:dyDescent="0.25">
      <c r="B9" s="84" t="s">
        <v>2</v>
      </c>
      <c r="C9" s="84" t="s">
        <v>1</v>
      </c>
      <c r="D9" s="87" t="s">
        <v>244</v>
      </c>
      <c r="E9" s="84" t="s">
        <v>245</v>
      </c>
      <c r="F9" s="84" t="s">
        <v>247</v>
      </c>
      <c r="G9" s="86" t="s">
        <v>248</v>
      </c>
      <c r="H9" s="86" t="s">
        <v>246</v>
      </c>
      <c r="I9" s="84" t="s">
        <v>5</v>
      </c>
    </row>
    <row r="10" spans="1:9" x14ac:dyDescent="0.25">
      <c r="B10" s="84">
        <v>1</v>
      </c>
      <c r="C10" s="84" t="s">
        <v>6</v>
      </c>
      <c r="D10" s="85">
        <v>315.04000000000002</v>
      </c>
      <c r="E10" s="85">
        <f>D10*7</f>
        <v>2205.2800000000002</v>
      </c>
      <c r="F10" s="85">
        <f>G10-E10</f>
        <v>3794.72</v>
      </c>
      <c r="G10" s="85">
        <v>6000</v>
      </c>
      <c r="H10" s="85">
        <v>983.35</v>
      </c>
      <c r="I10" s="85">
        <f>(E10+F10+H10)*B10</f>
        <v>6983.35</v>
      </c>
    </row>
    <row r="11" spans="1:9" x14ac:dyDescent="0.25">
      <c r="B11" s="84">
        <v>3</v>
      </c>
      <c r="C11" s="84" t="s">
        <v>7</v>
      </c>
      <c r="D11" s="85">
        <v>315.04000000000002</v>
      </c>
      <c r="E11" s="85">
        <f t="shared" ref="E11:E14" si="0">D11*7</f>
        <v>2205.2800000000002</v>
      </c>
      <c r="F11" s="85">
        <f t="shared" ref="F11:F14" si="1">G11-E11</f>
        <v>2794.72</v>
      </c>
      <c r="G11" s="85">
        <v>5000</v>
      </c>
      <c r="H11" s="85">
        <v>983.35</v>
      </c>
      <c r="I11" s="85">
        <f t="shared" ref="I11:I14" si="2">(E11+F11+H11)*B11</f>
        <v>17950.050000000003</v>
      </c>
    </row>
    <row r="12" spans="1:9" x14ac:dyDescent="0.25">
      <c r="B12" s="84">
        <v>2</v>
      </c>
      <c r="C12" s="84" t="s">
        <v>8</v>
      </c>
      <c r="D12" s="85">
        <v>315.04000000000002</v>
      </c>
      <c r="E12" s="85">
        <f t="shared" si="0"/>
        <v>2205.2800000000002</v>
      </c>
      <c r="F12" s="85">
        <f t="shared" si="1"/>
        <v>2094.7199999999998</v>
      </c>
      <c r="G12" s="85">
        <v>4300</v>
      </c>
      <c r="H12" s="85">
        <v>983.35</v>
      </c>
      <c r="I12" s="85">
        <f t="shared" si="2"/>
        <v>10566.7</v>
      </c>
    </row>
    <row r="13" spans="1:9" x14ac:dyDescent="0.25">
      <c r="B13" s="84">
        <v>1</v>
      </c>
      <c r="C13" s="84" t="s">
        <v>9</v>
      </c>
      <c r="D13" s="85">
        <v>315.04000000000002</v>
      </c>
      <c r="E13" s="85">
        <f t="shared" si="0"/>
        <v>2205.2800000000002</v>
      </c>
      <c r="F13" s="85">
        <f t="shared" si="1"/>
        <v>1794.7199999999998</v>
      </c>
      <c r="G13" s="85">
        <v>4000</v>
      </c>
      <c r="H13" s="85">
        <v>983.35</v>
      </c>
      <c r="I13" s="85">
        <f t="shared" si="2"/>
        <v>4983.3500000000004</v>
      </c>
    </row>
    <row r="14" spans="1:9" x14ac:dyDescent="0.25">
      <c r="B14" s="84">
        <v>20</v>
      </c>
      <c r="C14" s="84" t="s">
        <v>10</v>
      </c>
      <c r="D14" s="85">
        <v>315.04000000000002</v>
      </c>
      <c r="E14" s="85">
        <f t="shared" si="0"/>
        <v>2205.2800000000002</v>
      </c>
      <c r="F14" s="85">
        <f t="shared" si="1"/>
        <v>794.7199999999998</v>
      </c>
      <c r="G14" s="44">
        <v>3000</v>
      </c>
      <c r="H14" s="85">
        <v>983.35</v>
      </c>
      <c r="I14" s="85">
        <f t="shared" si="2"/>
        <v>79667</v>
      </c>
    </row>
    <row r="15" spans="1:9" x14ac:dyDescent="0.25">
      <c r="H15" s="83" t="s">
        <v>5</v>
      </c>
      <c r="I15" s="82">
        <f>SUM(I10:I14)</f>
        <v>120150.45000000001</v>
      </c>
    </row>
    <row r="16" spans="1:9" x14ac:dyDescent="0.25">
      <c r="C16" s="4"/>
    </row>
    <row r="17" spans="1:9" x14ac:dyDescent="0.25">
      <c r="C17" s="5"/>
    </row>
    <row r="19" spans="1:9" x14ac:dyDescent="0.25">
      <c r="B19" s="106" t="s">
        <v>113</v>
      </c>
      <c r="C19" s="106"/>
      <c r="D19" s="9">
        <f>I15</f>
        <v>120150.45000000001</v>
      </c>
      <c r="E19" s="81" t="s">
        <v>15</v>
      </c>
      <c r="F19" s="9">
        <f>D19/7</f>
        <v>17164.350000000002</v>
      </c>
    </row>
    <row r="20" spans="1:9" x14ac:dyDescent="0.25">
      <c r="B20" s="81" t="s">
        <v>14</v>
      </c>
      <c r="C20" s="81"/>
      <c r="D20" s="10">
        <f>F19*30.5</f>
        <v>523512.67500000005</v>
      </c>
    </row>
    <row r="23" spans="1:9" x14ac:dyDescent="0.25">
      <c r="A23" s="13">
        <v>2</v>
      </c>
      <c r="B23" s="120" t="s">
        <v>82</v>
      </c>
      <c r="C23" s="121"/>
      <c r="D23" s="121"/>
      <c r="E23" s="121"/>
      <c r="F23" s="122"/>
    </row>
    <row r="24" spans="1:9" x14ac:dyDescent="0.25">
      <c r="B24" s="106" t="s">
        <v>0</v>
      </c>
      <c r="C24" s="106"/>
      <c r="D24" s="106" t="s">
        <v>249</v>
      </c>
      <c r="E24" s="106"/>
      <c r="F24" s="106"/>
      <c r="G24" s="106"/>
      <c r="H24" s="106"/>
      <c r="I24" s="106"/>
    </row>
    <row r="25" spans="1:9" x14ac:dyDescent="0.25">
      <c r="B25" s="84" t="s">
        <v>2</v>
      </c>
      <c r="C25" s="84" t="s">
        <v>1</v>
      </c>
      <c r="D25" s="87" t="s">
        <v>244</v>
      </c>
      <c r="E25" s="84" t="s">
        <v>245</v>
      </c>
      <c r="F25" s="84" t="s">
        <v>247</v>
      </c>
      <c r="G25" s="86" t="s">
        <v>248</v>
      </c>
      <c r="H25" s="86" t="s">
        <v>246</v>
      </c>
      <c r="I25" s="84" t="s">
        <v>5</v>
      </c>
    </row>
    <row r="26" spans="1:9" x14ac:dyDescent="0.25">
      <c r="B26" s="84">
        <v>7</v>
      </c>
      <c r="C26" s="88" t="s">
        <v>10</v>
      </c>
      <c r="D26" s="85">
        <v>315.04000000000002</v>
      </c>
      <c r="E26" s="85">
        <f>D26*7</f>
        <v>2205.2800000000002</v>
      </c>
      <c r="F26" s="85">
        <f>F14</f>
        <v>794.7199999999998</v>
      </c>
      <c r="G26" s="85">
        <f>F26+E26</f>
        <v>3000</v>
      </c>
      <c r="H26" s="85">
        <v>983.35</v>
      </c>
      <c r="I26" s="85">
        <f>(E26+F26+H26)*B26</f>
        <v>27883.45</v>
      </c>
    </row>
    <row r="27" spans="1:9" x14ac:dyDescent="0.25">
      <c r="H27" s="81" t="s">
        <v>5</v>
      </c>
      <c r="I27" s="82">
        <f>I26</f>
        <v>27883.45</v>
      </c>
    </row>
    <row r="29" spans="1:9" x14ac:dyDescent="0.25">
      <c r="B29" s="106" t="s">
        <v>13</v>
      </c>
      <c r="C29" s="106"/>
      <c r="D29" s="9">
        <f>I27</f>
        <v>27883.45</v>
      </c>
      <c r="E29" s="81" t="s">
        <v>15</v>
      </c>
      <c r="F29" s="9">
        <f>D29/7</f>
        <v>3983.35</v>
      </c>
    </row>
    <row r="30" spans="1:9" x14ac:dyDescent="0.25">
      <c r="B30" s="81" t="s">
        <v>14</v>
      </c>
      <c r="C30" s="81"/>
      <c r="D30" s="10">
        <f>F29*30.5</f>
        <v>121492.175</v>
      </c>
    </row>
    <row r="33" spans="1:9" x14ac:dyDescent="0.25">
      <c r="A33" s="14">
        <v>3</v>
      </c>
      <c r="B33" s="120" t="s">
        <v>82</v>
      </c>
      <c r="C33" s="121"/>
      <c r="D33" s="121"/>
      <c r="E33" s="121"/>
      <c r="F33" s="122"/>
    </row>
    <row r="34" spans="1:9" x14ac:dyDescent="0.25">
      <c r="B34" s="106" t="s">
        <v>0</v>
      </c>
      <c r="C34" s="106"/>
      <c r="D34" s="106" t="s">
        <v>249</v>
      </c>
      <c r="E34" s="106"/>
      <c r="F34" s="106"/>
      <c r="G34" s="106"/>
      <c r="H34" s="106"/>
      <c r="I34" s="106"/>
    </row>
    <row r="35" spans="1:9" x14ac:dyDescent="0.25">
      <c r="B35" s="84" t="s">
        <v>2</v>
      </c>
      <c r="C35" s="84" t="s">
        <v>1</v>
      </c>
      <c r="D35" s="87" t="s">
        <v>244</v>
      </c>
      <c r="E35" s="84" t="s">
        <v>245</v>
      </c>
      <c r="F35" s="84" t="s">
        <v>247</v>
      </c>
      <c r="G35" s="86" t="s">
        <v>248</v>
      </c>
      <c r="H35" s="86" t="s">
        <v>246</v>
      </c>
      <c r="I35" s="84" t="s">
        <v>5</v>
      </c>
    </row>
    <row r="36" spans="1:9" x14ac:dyDescent="0.25">
      <c r="B36" s="84">
        <v>6</v>
      </c>
      <c r="C36" s="88" t="s">
        <v>10</v>
      </c>
      <c r="D36" s="85">
        <v>315.04000000000002</v>
      </c>
      <c r="E36" s="85">
        <f>D36*7</f>
        <v>2205.2800000000002</v>
      </c>
      <c r="F36" s="85">
        <f>F26</f>
        <v>794.7199999999998</v>
      </c>
      <c r="G36" s="85">
        <f>F36+E36</f>
        <v>3000</v>
      </c>
      <c r="H36" s="85">
        <v>983.35</v>
      </c>
      <c r="I36" s="85">
        <f>(E36+F36+H36)*B36</f>
        <v>23900.1</v>
      </c>
    </row>
    <row r="37" spans="1:9" x14ac:dyDescent="0.25">
      <c r="H37" s="81" t="s">
        <v>5</v>
      </c>
      <c r="I37" s="82">
        <f>I36</f>
        <v>23900.1</v>
      </c>
    </row>
    <row r="39" spans="1:9" x14ac:dyDescent="0.25">
      <c r="A39" s="89" t="s">
        <v>243</v>
      </c>
      <c r="B39" s="106" t="s">
        <v>13</v>
      </c>
      <c r="C39" s="106"/>
      <c r="D39" s="9">
        <f>I37</f>
        <v>23900.1</v>
      </c>
      <c r="E39" s="81" t="s">
        <v>15</v>
      </c>
      <c r="F39" s="9">
        <f>D39/7</f>
        <v>3414.2999999999997</v>
      </c>
    </row>
    <row r="40" spans="1:9" x14ac:dyDescent="0.25">
      <c r="B40" s="81" t="s">
        <v>14</v>
      </c>
      <c r="C40" s="81"/>
      <c r="D40" s="10">
        <f>F39*30.5</f>
        <v>104136.15</v>
      </c>
    </row>
    <row r="41" spans="1:9" x14ac:dyDescent="0.25">
      <c r="B41" s="90"/>
      <c r="C41" s="90"/>
      <c r="D41" s="91"/>
    </row>
    <row r="42" spans="1:9" x14ac:dyDescent="0.25">
      <c r="B42" s="90"/>
      <c r="C42" s="90"/>
      <c r="D42" s="91"/>
    </row>
    <row r="43" spans="1:9" x14ac:dyDescent="0.25">
      <c r="A43" s="89">
        <v>4</v>
      </c>
      <c r="B43" s="120" t="s">
        <v>80</v>
      </c>
      <c r="C43" s="121"/>
      <c r="D43" s="121"/>
      <c r="E43" s="121"/>
      <c r="F43" s="122"/>
    </row>
    <row r="44" spans="1:9" x14ac:dyDescent="0.25">
      <c r="B44" s="106" t="s">
        <v>0</v>
      </c>
      <c r="C44" s="106"/>
      <c r="D44" s="84" t="s">
        <v>11</v>
      </c>
    </row>
    <row r="45" spans="1:9" x14ac:dyDescent="0.25">
      <c r="B45" s="84" t="s">
        <v>2</v>
      </c>
      <c r="C45" s="84" t="s">
        <v>1</v>
      </c>
      <c r="D45" s="87" t="s">
        <v>244</v>
      </c>
      <c r="E45" s="84" t="s">
        <v>245</v>
      </c>
      <c r="F45" s="84" t="s">
        <v>247</v>
      </c>
      <c r="G45" s="86" t="s">
        <v>248</v>
      </c>
      <c r="H45" s="86" t="s">
        <v>246</v>
      </c>
      <c r="I45" s="84" t="s">
        <v>5</v>
      </c>
    </row>
    <row r="46" spans="1:9" x14ac:dyDescent="0.25">
      <c r="B46" s="84">
        <v>1</v>
      </c>
      <c r="C46" s="88" t="s">
        <v>12</v>
      </c>
      <c r="D46" s="85">
        <v>315.04000000000002</v>
      </c>
      <c r="E46" s="85">
        <f>D46*7</f>
        <v>2205.2800000000002</v>
      </c>
      <c r="F46" s="85">
        <f>G46-E46</f>
        <v>294.7199999999998</v>
      </c>
      <c r="G46" s="85">
        <v>2500</v>
      </c>
      <c r="H46" s="85">
        <v>983.35</v>
      </c>
      <c r="I46" s="85">
        <f>(E46+F46+H46)*B46</f>
        <v>3483.35</v>
      </c>
    </row>
    <row r="47" spans="1:9" x14ac:dyDescent="0.25">
      <c r="H47" s="81" t="s">
        <v>5</v>
      </c>
      <c r="I47" s="82">
        <f>I46</f>
        <v>3483.35</v>
      </c>
    </row>
    <row r="49" spans="2:17" x14ac:dyDescent="0.25">
      <c r="B49" s="106" t="s">
        <v>13</v>
      </c>
      <c r="C49" s="106"/>
      <c r="D49" s="9">
        <f>I47</f>
        <v>3483.35</v>
      </c>
      <c r="E49" s="81" t="s">
        <v>15</v>
      </c>
      <c r="F49" s="9">
        <f>D49/7</f>
        <v>497.62142857142857</v>
      </c>
    </row>
    <row r="50" spans="2:17" x14ac:dyDescent="0.25">
      <c r="B50" s="81" t="s">
        <v>14</v>
      </c>
      <c r="C50" s="81"/>
      <c r="D50" s="10">
        <f>F49*30.5</f>
        <v>15177.453571428572</v>
      </c>
    </row>
    <row r="55" spans="2:17" x14ac:dyDescent="0.25">
      <c r="B55" s="89" t="s">
        <v>114</v>
      </c>
    </row>
    <row r="56" spans="2:17" x14ac:dyDescent="0.25">
      <c r="B56" s="123" t="s">
        <v>42</v>
      </c>
      <c r="C56" s="123"/>
      <c r="D56" s="38">
        <f>D20+D30+D40+D50</f>
        <v>764318.45357142866</v>
      </c>
    </row>
    <row r="57" spans="2:17" x14ac:dyDescent="0.25">
      <c r="D57" s="4">
        <f>D56+F47</f>
        <v>764318.45357142866</v>
      </c>
    </row>
    <row r="64" spans="2:17" x14ac:dyDescent="0.25">
      <c r="B64" s="119" t="s">
        <v>120</v>
      </c>
      <c r="C64" s="119"/>
      <c r="D64" s="119"/>
      <c r="E64" s="119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</row>
  </sheetData>
  <mergeCells count="17">
    <mergeCell ref="B7:F7"/>
    <mergeCell ref="B8:C8"/>
    <mergeCell ref="B19:C19"/>
    <mergeCell ref="B23:F23"/>
    <mergeCell ref="B24:C24"/>
    <mergeCell ref="B64:Q64"/>
    <mergeCell ref="D8:I8"/>
    <mergeCell ref="D24:I24"/>
    <mergeCell ref="D34:I34"/>
    <mergeCell ref="B49:C49"/>
    <mergeCell ref="B33:F33"/>
    <mergeCell ref="B34:C34"/>
    <mergeCell ref="B39:C39"/>
    <mergeCell ref="B43:F43"/>
    <mergeCell ref="B44:C44"/>
    <mergeCell ref="B56:C56"/>
    <mergeCell ref="B29:C29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2"/>
  <sheetViews>
    <sheetView zoomScale="85" zoomScaleNormal="85" workbookViewId="0">
      <selection activeCell="H57" sqref="H57"/>
    </sheetView>
  </sheetViews>
  <sheetFormatPr baseColWidth="10" defaultRowHeight="15" x14ac:dyDescent="0.25"/>
  <cols>
    <col min="2" max="2" width="4.42578125" customWidth="1"/>
    <col min="4" max="4" width="21.85546875" customWidth="1"/>
    <col min="8" max="8" width="21.85546875" customWidth="1"/>
  </cols>
  <sheetData>
    <row r="3" spans="1:9" x14ac:dyDescent="0.25">
      <c r="A3" s="12"/>
      <c r="B3" s="51">
        <v>1</v>
      </c>
      <c r="C3" s="120" t="s">
        <v>83</v>
      </c>
      <c r="D3" s="121"/>
      <c r="E3" s="121"/>
      <c r="F3" s="121"/>
      <c r="G3" s="122"/>
    </row>
    <row r="4" spans="1:9" x14ac:dyDescent="0.25">
      <c r="C4" s="2" t="s">
        <v>2</v>
      </c>
      <c r="D4" s="2" t="s">
        <v>1</v>
      </c>
      <c r="E4" s="2" t="s">
        <v>84</v>
      </c>
      <c r="F4" s="2" t="s">
        <v>90</v>
      </c>
      <c r="G4" s="2"/>
    </row>
    <row r="5" spans="1:9" x14ac:dyDescent="0.25">
      <c r="C5" s="2">
        <v>1</v>
      </c>
      <c r="D5" s="6" t="s">
        <v>6</v>
      </c>
      <c r="E5" s="3" t="s">
        <v>85</v>
      </c>
      <c r="F5" s="3" t="s">
        <v>91</v>
      </c>
      <c r="G5" s="3"/>
    </row>
    <row r="6" spans="1:9" x14ac:dyDescent="0.25">
      <c r="C6" s="2">
        <v>1</v>
      </c>
      <c r="D6" s="6" t="s">
        <v>7</v>
      </c>
      <c r="E6" s="3" t="s">
        <v>85</v>
      </c>
      <c r="F6" s="3" t="s">
        <v>92</v>
      </c>
      <c r="G6" s="3"/>
    </row>
    <row r="7" spans="1:9" x14ac:dyDescent="0.25">
      <c r="C7" s="2">
        <v>1</v>
      </c>
      <c r="D7" s="6" t="s">
        <v>7</v>
      </c>
      <c r="E7" s="3" t="s">
        <v>86</v>
      </c>
      <c r="F7" s="3" t="s">
        <v>93</v>
      </c>
      <c r="G7" s="3"/>
    </row>
    <row r="8" spans="1:9" x14ac:dyDescent="0.25">
      <c r="C8" s="2">
        <v>1</v>
      </c>
      <c r="D8" s="6" t="s">
        <v>87</v>
      </c>
      <c r="E8" s="3" t="s">
        <v>88</v>
      </c>
      <c r="F8" s="3" t="s">
        <v>93</v>
      </c>
      <c r="G8" s="3"/>
    </row>
    <row r="9" spans="1:9" x14ac:dyDescent="0.25">
      <c r="C9" s="2">
        <v>1</v>
      </c>
      <c r="D9" s="6" t="s">
        <v>8</v>
      </c>
      <c r="E9" s="3" t="s">
        <v>85</v>
      </c>
      <c r="F9" s="3" t="s">
        <v>92</v>
      </c>
      <c r="G9" s="3"/>
    </row>
    <row r="10" spans="1:9" x14ac:dyDescent="0.25">
      <c r="C10" s="2">
        <v>1</v>
      </c>
      <c r="D10" s="6" t="s">
        <v>8</v>
      </c>
      <c r="E10" s="3" t="s">
        <v>86</v>
      </c>
      <c r="F10" s="3" t="s">
        <v>93</v>
      </c>
      <c r="G10" s="3"/>
    </row>
    <row r="11" spans="1:9" x14ac:dyDescent="0.25">
      <c r="C11" s="2">
        <v>1</v>
      </c>
      <c r="D11" s="6" t="s">
        <v>9</v>
      </c>
      <c r="E11" s="3" t="s">
        <v>89</v>
      </c>
      <c r="F11" s="3" t="s">
        <v>92</v>
      </c>
      <c r="G11" s="3"/>
    </row>
    <row r="12" spans="1:9" x14ac:dyDescent="0.25">
      <c r="C12" s="2">
        <v>10</v>
      </c>
      <c r="D12" s="6" t="s">
        <v>10</v>
      </c>
      <c r="E12" s="3" t="s">
        <v>86</v>
      </c>
      <c r="F12" s="3" t="s">
        <v>93</v>
      </c>
      <c r="G12" s="3"/>
    </row>
    <row r="13" spans="1:9" x14ac:dyDescent="0.25">
      <c r="C13" s="2">
        <v>10</v>
      </c>
      <c r="D13" s="6" t="s">
        <v>10</v>
      </c>
      <c r="E13" s="3" t="s">
        <v>85</v>
      </c>
      <c r="F13" s="3" t="s">
        <v>92</v>
      </c>
      <c r="G13" s="3"/>
    </row>
    <row r="15" spans="1:9" x14ac:dyDescent="0.25">
      <c r="C15" s="8" t="s">
        <v>94</v>
      </c>
      <c r="D15" s="9" t="s">
        <v>95</v>
      </c>
      <c r="E15" s="44" t="s">
        <v>36</v>
      </c>
      <c r="F15" s="42"/>
      <c r="G15" s="8" t="s">
        <v>94</v>
      </c>
      <c r="H15" s="9" t="s">
        <v>95</v>
      </c>
      <c r="I15" s="44" t="s">
        <v>36</v>
      </c>
    </row>
    <row r="16" spans="1:9" x14ac:dyDescent="0.25">
      <c r="C16" s="31" t="s">
        <v>85</v>
      </c>
      <c r="D16" s="19" t="s">
        <v>96</v>
      </c>
      <c r="E16" s="2">
        <v>0</v>
      </c>
      <c r="G16" s="31" t="s">
        <v>85</v>
      </c>
      <c r="H16" s="19" t="s">
        <v>96</v>
      </c>
      <c r="I16" s="2">
        <v>0</v>
      </c>
    </row>
    <row r="17" spans="1:9" x14ac:dyDescent="0.25">
      <c r="C17" s="2" t="s">
        <v>85</v>
      </c>
      <c r="D17" s="6" t="s">
        <v>7</v>
      </c>
      <c r="E17" s="2">
        <v>1</v>
      </c>
      <c r="G17" s="2" t="s">
        <v>85</v>
      </c>
      <c r="H17" s="6" t="s">
        <v>7</v>
      </c>
      <c r="I17" s="2">
        <v>2</v>
      </c>
    </row>
    <row r="18" spans="1:9" x14ac:dyDescent="0.25">
      <c r="C18" s="2" t="s">
        <v>85</v>
      </c>
      <c r="D18" s="6" t="s">
        <v>8</v>
      </c>
      <c r="E18" s="2">
        <v>1</v>
      </c>
      <c r="G18" s="2" t="s">
        <v>85</v>
      </c>
      <c r="H18" s="6" t="s">
        <v>8</v>
      </c>
      <c r="I18" s="2">
        <v>1</v>
      </c>
    </row>
    <row r="19" spans="1:9" x14ac:dyDescent="0.25">
      <c r="C19" s="2" t="s">
        <v>85</v>
      </c>
      <c r="D19" s="6" t="s">
        <v>9</v>
      </c>
      <c r="E19" s="2">
        <v>1</v>
      </c>
      <c r="G19" s="2" t="s">
        <v>85</v>
      </c>
      <c r="H19" s="6" t="s">
        <v>9</v>
      </c>
      <c r="I19" s="2">
        <v>0</v>
      </c>
    </row>
    <row r="20" spans="1:9" x14ac:dyDescent="0.25">
      <c r="C20" s="2" t="s">
        <v>85</v>
      </c>
      <c r="D20" s="43" t="s">
        <v>10</v>
      </c>
      <c r="E20" s="2">
        <v>10</v>
      </c>
      <c r="G20" s="2" t="s">
        <v>85</v>
      </c>
      <c r="H20" s="43" t="s">
        <v>10</v>
      </c>
      <c r="I20" s="2">
        <v>10</v>
      </c>
    </row>
    <row r="21" spans="1:9" x14ac:dyDescent="0.25">
      <c r="D21" s="31" t="s">
        <v>97</v>
      </c>
      <c r="E21" s="2">
        <f>SUM(E16:E20)</f>
        <v>13</v>
      </c>
      <c r="H21" s="31" t="s">
        <v>97</v>
      </c>
      <c r="I21" s="2">
        <f>SUM(I16:I20)</f>
        <v>13</v>
      </c>
    </row>
    <row r="23" spans="1:9" x14ac:dyDescent="0.25">
      <c r="B23" s="2"/>
      <c r="C23" s="31" t="s">
        <v>34</v>
      </c>
      <c r="D23" s="31" t="s">
        <v>98</v>
      </c>
      <c r="E23" s="2" t="s">
        <v>103</v>
      </c>
      <c r="F23" s="2" t="s">
        <v>44</v>
      </c>
    </row>
    <row r="24" spans="1:9" x14ac:dyDescent="0.25">
      <c r="B24" s="2">
        <v>1</v>
      </c>
      <c r="C24" s="31" t="s">
        <v>99</v>
      </c>
      <c r="D24" s="31" t="s">
        <v>100</v>
      </c>
      <c r="E24" s="2" t="s">
        <v>77</v>
      </c>
      <c r="F24" s="21">
        <v>23200</v>
      </c>
    </row>
    <row r="25" spans="1:9" x14ac:dyDescent="0.25">
      <c r="B25" s="2">
        <v>2</v>
      </c>
      <c r="C25" s="31" t="s">
        <v>101</v>
      </c>
      <c r="D25" s="31" t="s">
        <v>102</v>
      </c>
      <c r="E25" s="21">
        <v>3500</v>
      </c>
      <c r="F25" s="21">
        <f>E25*4</f>
        <v>14000</v>
      </c>
    </row>
    <row r="26" spans="1:9" x14ac:dyDescent="0.25">
      <c r="B26" s="2">
        <v>3</v>
      </c>
      <c r="C26" s="31" t="s">
        <v>104</v>
      </c>
      <c r="D26" s="31" t="s">
        <v>105</v>
      </c>
      <c r="E26" s="2">
        <v>750</v>
      </c>
      <c r="F26" s="21">
        <v>1943.5</v>
      </c>
    </row>
    <row r="27" spans="1:9" x14ac:dyDescent="0.25">
      <c r="D27" s="46" t="s">
        <v>106</v>
      </c>
      <c r="E27" s="48">
        <f>SUM(F24:F26)</f>
        <v>39143.5</v>
      </c>
      <c r="F27" s="2" t="s">
        <v>107</v>
      </c>
    </row>
    <row r="30" spans="1:9" x14ac:dyDescent="0.25">
      <c r="A30" s="13"/>
      <c r="B30" s="50">
        <v>2</v>
      </c>
      <c r="C30" s="120" t="s">
        <v>111</v>
      </c>
      <c r="D30" s="121"/>
      <c r="E30" s="121"/>
      <c r="F30" s="121"/>
      <c r="G30" s="122"/>
      <c r="H30" s="2" t="s">
        <v>108</v>
      </c>
    </row>
    <row r="31" spans="1:9" x14ac:dyDescent="0.25">
      <c r="C31" s="2" t="s">
        <v>2</v>
      </c>
      <c r="D31" s="2" t="s">
        <v>1</v>
      </c>
      <c r="E31" s="2" t="s">
        <v>84</v>
      </c>
      <c r="F31" s="2" t="s">
        <v>90</v>
      </c>
      <c r="G31" s="2" t="s">
        <v>58</v>
      </c>
    </row>
    <row r="32" spans="1:9" x14ac:dyDescent="0.25">
      <c r="C32" s="2">
        <v>2</v>
      </c>
      <c r="D32" s="6" t="s">
        <v>10</v>
      </c>
      <c r="E32" s="3" t="s">
        <v>85</v>
      </c>
      <c r="F32" s="3">
        <v>250</v>
      </c>
      <c r="G32" s="3">
        <f>F32*C32</f>
        <v>500</v>
      </c>
    </row>
    <row r="33" spans="1:9" x14ac:dyDescent="0.25">
      <c r="C33" s="2">
        <v>3</v>
      </c>
      <c r="D33" s="6" t="s">
        <v>10</v>
      </c>
      <c r="E33" s="3" t="s">
        <v>86</v>
      </c>
      <c r="F33" s="3">
        <v>250</v>
      </c>
      <c r="G33" s="3">
        <f t="shared" ref="G33:G34" si="0">F33*C33</f>
        <v>750</v>
      </c>
    </row>
    <row r="34" spans="1:9" x14ac:dyDescent="0.25">
      <c r="C34" s="2">
        <v>2</v>
      </c>
      <c r="D34" s="6" t="s">
        <v>10</v>
      </c>
      <c r="E34" s="3" t="s">
        <v>67</v>
      </c>
      <c r="F34" s="3">
        <v>250</v>
      </c>
      <c r="G34" s="3">
        <f t="shared" si="0"/>
        <v>500</v>
      </c>
    </row>
    <row r="36" spans="1:9" x14ac:dyDescent="0.25">
      <c r="C36" s="8" t="s">
        <v>94</v>
      </c>
      <c r="D36" s="9" t="s">
        <v>95</v>
      </c>
      <c r="E36" s="44" t="s">
        <v>36</v>
      </c>
      <c r="F36" s="42"/>
      <c r="G36" s="8" t="s">
        <v>115</v>
      </c>
      <c r="H36" s="9" t="s">
        <v>95</v>
      </c>
      <c r="I36" s="44" t="s">
        <v>36</v>
      </c>
    </row>
    <row r="37" spans="1:9" x14ac:dyDescent="0.25">
      <c r="C37" s="31" t="s">
        <v>85</v>
      </c>
      <c r="D37" s="19" t="s">
        <v>10</v>
      </c>
      <c r="E37" s="2">
        <v>2</v>
      </c>
      <c r="G37" s="31" t="s">
        <v>86</v>
      </c>
      <c r="H37" s="19" t="s">
        <v>10</v>
      </c>
      <c r="I37" s="2">
        <v>3</v>
      </c>
    </row>
    <row r="38" spans="1:9" x14ac:dyDescent="0.25">
      <c r="C38" s="2" t="s">
        <v>67</v>
      </c>
      <c r="D38" s="6" t="s">
        <v>10</v>
      </c>
      <c r="E38" s="2">
        <v>1</v>
      </c>
      <c r="G38" s="2" t="s">
        <v>67</v>
      </c>
      <c r="H38" s="6" t="s">
        <v>10</v>
      </c>
      <c r="I38" s="2">
        <v>1</v>
      </c>
    </row>
    <row r="40" spans="1:9" x14ac:dyDescent="0.25">
      <c r="B40" s="2"/>
      <c r="C40" s="31" t="s">
        <v>34</v>
      </c>
      <c r="D40" s="31" t="s">
        <v>98</v>
      </c>
      <c r="E40" s="2" t="s">
        <v>103</v>
      </c>
      <c r="F40" s="2" t="s">
        <v>44</v>
      </c>
    </row>
    <row r="41" spans="1:9" x14ac:dyDescent="0.25">
      <c r="B41" s="2">
        <v>7</v>
      </c>
      <c r="C41" s="54">
        <v>250</v>
      </c>
      <c r="D41" s="31" t="s">
        <v>116</v>
      </c>
      <c r="E41" s="21">
        <f>C41*B41</f>
        <v>1750</v>
      </c>
      <c r="F41" s="21">
        <f>E41*4</f>
        <v>7000</v>
      </c>
    </row>
    <row r="42" spans="1:9" x14ac:dyDescent="0.25">
      <c r="D42" s="46" t="s">
        <v>106</v>
      </c>
      <c r="E42" s="47">
        <f>SUM(F41:F41)</f>
        <v>7000</v>
      </c>
      <c r="F42" s="2" t="s">
        <v>112</v>
      </c>
    </row>
    <row r="44" spans="1:9" x14ac:dyDescent="0.25">
      <c r="A44" s="14"/>
      <c r="B44" s="49">
        <v>3</v>
      </c>
      <c r="C44" s="120" t="s">
        <v>109</v>
      </c>
      <c r="D44" s="121"/>
      <c r="E44" s="121"/>
      <c r="F44" s="121"/>
      <c r="G44" s="122"/>
      <c r="H44" s="8" t="s">
        <v>108</v>
      </c>
    </row>
    <row r="45" spans="1:9" x14ac:dyDescent="0.25">
      <c r="C45" s="2" t="s">
        <v>2</v>
      </c>
      <c r="D45" s="2" t="s">
        <v>1</v>
      </c>
      <c r="E45" s="2" t="s">
        <v>84</v>
      </c>
      <c r="F45" s="2" t="s">
        <v>90</v>
      </c>
      <c r="G45" s="2"/>
    </row>
    <row r="46" spans="1:9" x14ac:dyDescent="0.25">
      <c r="C46" s="2">
        <v>2</v>
      </c>
      <c r="D46" s="6" t="s">
        <v>10</v>
      </c>
      <c r="E46" s="3" t="s">
        <v>85</v>
      </c>
      <c r="F46" s="3">
        <v>350</v>
      </c>
      <c r="G46" s="3"/>
    </row>
    <row r="47" spans="1:9" x14ac:dyDescent="0.25">
      <c r="C47" s="2">
        <v>2</v>
      </c>
      <c r="D47" s="6" t="s">
        <v>10</v>
      </c>
      <c r="E47" s="3" t="s">
        <v>86</v>
      </c>
      <c r="F47" s="41">
        <v>350</v>
      </c>
      <c r="G47" s="3"/>
    </row>
    <row r="48" spans="1:9" x14ac:dyDescent="0.25">
      <c r="C48" s="2">
        <v>2</v>
      </c>
      <c r="D48" s="6" t="s">
        <v>10</v>
      </c>
      <c r="E48" s="3" t="s">
        <v>67</v>
      </c>
      <c r="F48" s="41">
        <v>350</v>
      </c>
      <c r="G48" s="3"/>
    </row>
    <row r="49" spans="2:9" x14ac:dyDescent="0.25">
      <c r="C49" s="27"/>
      <c r="D49" s="52"/>
      <c r="E49" s="53"/>
      <c r="F49" s="53"/>
      <c r="G49" s="53"/>
    </row>
    <row r="51" spans="2:9" x14ac:dyDescent="0.25">
      <c r="C51" s="8" t="s">
        <v>94</v>
      </c>
      <c r="D51" s="9" t="s">
        <v>95</v>
      </c>
      <c r="E51" s="44" t="s">
        <v>36</v>
      </c>
      <c r="F51" s="42"/>
      <c r="G51" s="8" t="s">
        <v>115</v>
      </c>
      <c r="H51" s="9" t="s">
        <v>95</v>
      </c>
      <c r="I51" s="44" t="s">
        <v>36</v>
      </c>
    </row>
    <row r="52" spans="2:9" x14ac:dyDescent="0.25">
      <c r="C52" s="31" t="s">
        <v>85</v>
      </c>
      <c r="D52" s="19" t="s">
        <v>10</v>
      </c>
      <c r="E52" s="2">
        <v>2</v>
      </c>
      <c r="G52" s="31" t="s">
        <v>86</v>
      </c>
      <c r="H52" s="19" t="s">
        <v>10</v>
      </c>
      <c r="I52" s="2">
        <v>2</v>
      </c>
    </row>
    <row r="53" spans="2:9" x14ac:dyDescent="0.25">
      <c r="C53" s="2" t="s">
        <v>67</v>
      </c>
      <c r="D53" s="6" t="s">
        <v>10</v>
      </c>
      <c r="E53" s="2">
        <v>1</v>
      </c>
      <c r="G53" s="2" t="s">
        <v>67</v>
      </c>
      <c r="H53" s="6" t="s">
        <v>10</v>
      </c>
      <c r="I53" s="2">
        <v>1</v>
      </c>
    </row>
    <row r="55" spans="2:9" x14ac:dyDescent="0.25">
      <c r="B55" s="2"/>
      <c r="C55" s="31" t="s">
        <v>34</v>
      </c>
      <c r="D55" s="31" t="s">
        <v>98</v>
      </c>
      <c r="E55" s="2" t="s">
        <v>103</v>
      </c>
      <c r="F55" s="2" t="s">
        <v>44</v>
      </c>
    </row>
    <row r="56" spans="2:9" x14ac:dyDescent="0.25">
      <c r="B56" s="2">
        <v>6</v>
      </c>
      <c r="C56" s="54">
        <v>350</v>
      </c>
      <c r="D56" s="31" t="s">
        <v>116</v>
      </c>
      <c r="E56" s="21">
        <f>C56*B56</f>
        <v>2100</v>
      </c>
      <c r="F56" s="21">
        <f>E56*4</f>
        <v>8400</v>
      </c>
    </row>
    <row r="57" spans="2:9" x14ac:dyDescent="0.25">
      <c r="D57" s="46" t="s">
        <v>106</v>
      </c>
      <c r="E57" s="47">
        <f>SUM(F56:F56)</f>
        <v>8400</v>
      </c>
      <c r="F57" s="2" t="s">
        <v>110</v>
      </c>
    </row>
    <row r="59" spans="2:9" x14ac:dyDescent="0.25">
      <c r="D59" t="s">
        <v>118</v>
      </c>
    </row>
    <row r="60" spans="2:9" x14ac:dyDescent="0.25">
      <c r="D60" s="8" t="s">
        <v>117</v>
      </c>
      <c r="E60" s="19">
        <f>E27</f>
        <v>39143.5</v>
      </c>
      <c r="F60" s="119" t="s">
        <v>128</v>
      </c>
      <c r="G60" s="119"/>
    </row>
    <row r="61" spans="2:9" x14ac:dyDescent="0.25">
      <c r="D61" s="55" t="s">
        <v>11</v>
      </c>
    </row>
    <row r="62" spans="2:9" x14ac:dyDescent="0.25">
      <c r="D62" s="56" t="s">
        <v>117</v>
      </c>
      <c r="E62" s="20">
        <f>E57+E42+E27</f>
        <v>54543.5</v>
      </c>
    </row>
    <row r="63" spans="2:9" x14ac:dyDescent="0.25">
      <c r="D63" s="119" t="s">
        <v>119</v>
      </c>
      <c r="E63" s="119"/>
      <c r="F63" s="119"/>
      <c r="G63" s="119"/>
    </row>
    <row r="66" spans="3:5" x14ac:dyDescent="0.25">
      <c r="C66" s="105" t="s">
        <v>175</v>
      </c>
      <c r="D66" s="105"/>
      <c r="E66" s="105"/>
    </row>
    <row r="67" spans="3:5" x14ac:dyDescent="0.25">
      <c r="C67" s="59" t="s">
        <v>176</v>
      </c>
      <c r="D67" s="105" t="s">
        <v>2</v>
      </c>
      <c r="E67" s="105"/>
    </row>
    <row r="68" spans="3:5" x14ac:dyDescent="0.25">
      <c r="C68" s="59">
        <v>1</v>
      </c>
      <c r="D68" s="104">
        <f>$E$60</f>
        <v>39143.5</v>
      </c>
      <c r="E68" s="104"/>
    </row>
    <row r="69" spans="3:5" x14ac:dyDescent="0.25">
      <c r="C69" s="59">
        <v>2</v>
      </c>
      <c r="D69" s="104">
        <f t="shared" ref="D69:D79" si="1">$E$60</f>
        <v>39143.5</v>
      </c>
      <c r="E69" s="104"/>
    </row>
    <row r="70" spans="3:5" x14ac:dyDescent="0.25">
      <c r="C70" s="59">
        <v>3</v>
      </c>
      <c r="D70" s="104">
        <f t="shared" si="1"/>
        <v>39143.5</v>
      </c>
      <c r="E70" s="104"/>
    </row>
    <row r="71" spans="3:5" x14ac:dyDescent="0.25">
      <c r="C71" s="59">
        <v>4</v>
      </c>
      <c r="D71" s="104">
        <f t="shared" si="1"/>
        <v>39143.5</v>
      </c>
      <c r="E71" s="104"/>
    </row>
    <row r="72" spans="3:5" x14ac:dyDescent="0.25">
      <c r="C72" s="59">
        <v>5</v>
      </c>
      <c r="D72" s="104">
        <f t="shared" si="1"/>
        <v>39143.5</v>
      </c>
      <c r="E72" s="104"/>
    </row>
    <row r="73" spans="3:5" x14ac:dyDescent="0.25">
      <c r="C73" s="59">
        <v>6</v>
      </c>
      <c r="D73" s="104">
        <f t="shared" si="1"/>
        <v>39143.5</v>
      </c>
      <c r="E73" s="104"/>
    </row>
    <row r="74" spans="3:5" x14ac:dyDescent="0.25">
      <c r="C74" s="59">
        <v>7</v>
      </c>
      <c r="D74" s="104">
        <f t="shared" si="1"/>
        <v>39143.5</v>
      </c>
      <c r="E74" s="104"/>
    </row>
    <row r="75" spans="3:5" x14ac:dyDescent="0.25">
      <c r="C75" s="59">
        <v>8</v>
      </c>
      <c r="D75" s="104">
        <f t="shared" si="1"/>
        <v>39143.5</v>
      </c>
      <c r="E75" s="104"/>
    </row>
    <row r="76" spans="3:5" x14ac:dyDescent="0.25">
      <c r="C76" s="59">
        <v>9</v>
      </c>
      <c r="D76" s="104">
        <f t="shared" si="1"/>
        <v>39143.5</v>
      </c>
      <c r="E76" s="104"/>
    </row>
    <row r="77" spans="3:5" x14ac:dyDescent="0.25">
      <c r="C77" s="59">
        <v>10</v>
      </c>
      <c r="D77" s="104">
        <f t="shared" si="1"/>
        <v>39143.5</v>
      </c>
      <c r="E77" s="104"/>
    </row>
    <row r="78" spans="3:5" x14ac:dyDescent="0.25">
      <c r="C78" s="59">
        <v>11</v>
      </c>
      <c r="D78" s="104">
        <f t="shared" si="1"/>
        <v>39143.5</v>
      </c>
      <c r="E78" s="104"/>
    </row>
    <row r="79" spans="3:5" x14ac:dyDescent="0.25">
      <c r="C79" s="59">
        <v>12</v>
      </c>
      <c r="D79" s="104">
        <f t="shared" si="1"/>
        <v>39143.5</v>
      </c>
      <c r="E79" s="104"/>
    </row>
    <row r="81" spans="3:4" x14ac:dyDescent="0.25">
      <c r="C81" s="105" t="s">
        <v>179</v>
      </c>
      <c r="D81" s="105"/>
    </row>
    <row r="82" spans="3:4" x14ac:dyDescent="0.25">
      <c r="C82" s="104">
        <f>SUM(D68:E79)</f>
        <v>469722</v>
      </c>
      <c r="D82" s="105"/>
    </row>
  </sheetData>
  <mergeCells count="21">
    <mergeCell ref="C3:G3"/>
    <mergeCell ref="C30:G30"/>
    <mergeCell ref="D74:E74"/>
    <mergeCell ref="C44:G44"/>
    <mergeCell ref="D63:G63"/>
    <mergeCell ref="F60:G60"/>
    <mergeCell ref="C66:E66"/>
    <mergeCell ref="D67:E67"/>
    <mergeCell ref="D68:E68"/>
    <mergeCell ref="D69:E69"/>
    <mergeCell ref="D70:E70"/>
    <mergeCell ref="D71:E71"/>
    <mergeCell ref="D72:E72"/>
    <mergeCell ref="D73:E73"/>
    <mergeCell ref="C82:D82"/>
    <mergeCell ref="D75:E75"/>
    <mergeCell ref="D76:E76"/>
    <mergeCell ref="D77:E77"/>
    <mergeCell ref="D78:E78"/>
    <mergeCell ref="D79:E79"/>
    <mergeCell ref="C81:D8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46"/>
  <sheetViews>
    <sheetView workbookViewId="0">
      <selection activeCell="F28" sqref="F28"/>
    </sheetView>
  </sheetViews>
  <sheetFormatPr baseColWidth="10" defaultRowHeight="15" x14ac:dyDescent="0.25"/>
  <cols>
    <col min="3" max="3" width="17.5703125" customWidth="1"/>
    <col min="4" max="4" width="14.42578125" customWidth="1"/>
  </cols>
  <sheetData>
    <row r="4" spans="2:6" x14ac:dyDescent="0.25">
      <c r="B4" s="106" t="s">
        <v>38</v>
      </c>
      <c r="C4" s="106"/>
      <c r="D4" s="106"/>
    </row>
    <row r="5" spans="2:6" x14ac:dyDescent="0.25">
      <c r="B5" s="2" t="s">
        <v>2</v>
      </c>
      <c r="C5" s="2" t="s">
        <v>34</v>
      </c>
      <c r="D5" s="2" t="s">
        <v>35</v>
      </c>
      <c r="E5" s="2" t="s">
        <v>36</v>
      </c>
      <c r="F5" s="2" t="s">
        <v>5</v>
      </c>
    </row>
    <row r="6" spans="2:6" x14ac:dyDescent="0.25">
      <c r="B6" s="2" t="s">
        <v>32</v>
      </c>
      <c r="C6" s="21">
        <v>300</v>
      </c>
      <c r="D6" s="25">
        <v>20</v>
      </c>
      <c r="E6" s="25">
        <v>5</v>
      </c>
      <c r="F6" s="3">
        <f>C6*D6*E6</f>
        <v>30000</v>
      </c>
    </row>
    <row r="7" spans="2:6" x14ac:dyDescent="0.25">
      <c r="B7" s="2" t="s">
        <v>33</v>
      </c>
      <c r="C7" s="21">
        <v>1600</v>
      </c>
      <c r="D7" s="25">
        <v>20</v>
      </c>
      <c r="E7" s="25">
        <v>1</v>
      </c>
      <c r="F7" s="3">
        <f>C7*D7*E7</f>
        <v>32000</v>
      </c>
    </row>
    <row r="8" spans="2:6" x14ac:dyDescent="0.25">
      <c r="B8" s="2" t="s">
        <v>238</v>
      </c>
      <c r="C8" s="21">
        <v>500</v>
      </c>
      <c r="D8" s="25">
        <v>20</v>
      </c>
      <c r="E8" s="25">
        <v>1</v>
      </c>
      <c r="F8" s="3">
        <f>C8*D8*E8</f>
        <v>10000</v>
      </c>
    </row>
    <row r="9" spans="2:6" x14ac:dyDescent="0.25">
      <c r="E9" s="33" t="s">
        <v>5</v>
      </c>
      <c r="F9" s="34">
        <f>SUM(F6:F8)</f>
        <v>72000</v>
      </c>
    </row>
    <row r="12" spans="2:6" x14ac:dyDescent="0.25">
      <c r="B12" s="106" t="s">
        <v>37</v>
      </c>
      <c r="C12" s="106"/>
      <c r="D12" s="106"/>
    </row>
    <row r="13" spans="2:6" x14ac:dyDescent="0.25">
      <c r="B13" s="2" t="s">
        <v>2</v>
      </c>
      <c r="C13" s="2" t="s">
        <v>34</v>
      </c>
      <c r="D13" s="2" t="s">
        <v>35</v>
      </c>
      <c r="E13" s="2" t="s">
        <v>36</v>
      </c>
      <c r="F13" s="2" t="s">
        <v>5</v>
      </c>
    </row>
    <row r="14" spans="2:6" x14ac:dyDescent="0.25">
      <c r="B14" s="2" t="s">
        <v>32</v>
      </c>
      <c r="C14" s="21">
        <f>C6</f>
        <v>300</v>
      </c>
      <c r="D14" s="25">
        <v>7</v>
      </c>
      <c r="E14" s="25">
        <v>5</v>
      </c>
      <c r="F14" s="3">
        <f>C14*D14*E14</f>
        <v>10500</v>
      </c>
    </row>
    <row r="15" spans="2:6" x14ac:dyDescent="0.25">
      <c r="B15" s="2" t="s">
        <v>33</v>
      </c>
      <c r="C15" s="21">
        <f>C7</f>
        <v>1600</v>
      </c>
      <c r="D15" s="25">
        <v>7</v>
      </c>
      <c r="E15" s="25">
        <v>1</v>
      </c>
      <c r="F15" s="3">
        <f>C15*D15*E15</f>
        <v>11200</v>
      </c>
    </row>
    <row r="16" spans="2:6" x14ac:dyDescent="0.25">
      <c r="B16" s="2" t="s">
        <v>238</v>
      </c>
      <c r="C16" s="21">
        <f>C8</f>
        <v>500</v>
      </c>
      <c r="D16" s="25">
        <v>7</v>
      </c>
      <c r="E16" s="25">
        <v>1</v>
      </c>
      <c r="F16" s="3">
        <f>C16*D16*E16</f>
        <v>3500</v>
      </c>
    </row>
    <row r="17" spans="2:7" x14ac:dyDescent="0.25">
      <c r="E17" s="33" t="s">
        <v>5</v>
      </c>
      <c r="F17" s="34">
        <f>SUM(F14:F16)</f>
        <v>25200</v>
      </c>
    </row>
    <row r="20" spans="2:7" x14ac:dyDescent="0.25">
      <c r="B20" s="106" t="s">
        <v>39</v>
      </c>
      <c r="C20" s="106"/>
      <c r="D20" s="106"/>
    </row>
    <row r="21" spans="2:7" x14ac:dyDescent="0.25">
      <c r="B21" s="2" t="s">
        <v>2</v>
      </c>
      <c r="C21" s="2" t="s">
        <v>34</v>
      </c>
      <c r="D21" s="2" t="s">
        <v>35</v>
      </c>
      <c r="E21" s="2" t="s">
        <v>36</v>
      </c>
      <c r="F21" s="2" t="s">
        <v>5</v>
      </c>
    </row>
    <row r="22" spans="2:7" x14ac:dyDescent="0.25">
      <c r="B22" s="2" t="s">
        <v>32</v>
      </c>
      <c r="C22" s="21">
        <f>C14</f>
        <v>300</v>
      </c>
      <c r="D22" s="25">
        <v>6</v>
      </c>
      <c r="E22" s="25">
        <v>5</v>
      </c>
      <c r="F22" s="3">
        <f>C22*D22*E22</f>
        <v>9000</v>
      </c>
    </row>
    <row r="23" spans="2:7" x14ac:dyDescent="0.25">
      <c r="B23" s="2" t="s">
        <v>33</v>
      </c>
      <c r="C23" s="21">
        <f>C15</f>
        <v>1600</v>
      </c>
      <c r="D23" s="25">
        <v>6</v>
      </c>
      <c r="E23" s="25">
        <v>1</v>
      </c>
      <c r="F23" s="3">
        <f>C23*D23*E23</f>
        <v>9600</v>
      </c>
    </row>
    <row r="24" spans="2:7" x14ac:dyDescent="0.25">
      <c r="B24" s="2" t="s">
        <v>238</v>
      </c>
      <c r="C24" s="21">
        <f>C16</f>
        <v>500</v>
      </c>
      <c r="D24" s="25">
        <v>6</v>
      </c>
      <c r="E24" s="25">
        <v>1</v>
      </c>
      <c r="F24" s="3">
        <f>C24*D24*E24</f>
        <v>3000</v>
      </c>
    </row>
    <row r="25" spans="2:7" x14ac:dyDescent="0.25">
      <c r="E25" s="33" t="s">
        <v>5</v>
      </c>
      <c r="F25" s="34">
        <f>SUM(F22:F24)</f>
        <v>21600</v>
      </c>
    </row>
    <row r="27" spans="2:7" x14ac:dyDescent="0.25">
      <c r="B27" s="126" t="s">
        <v>40</v>
      </c>
      <c r="C27" s="126"/>
      <c r="D27" s="126"/>
      <c r="E27" s="126"/>
    </row>
    <row r="28" spans="2:7" x14ac:dyDescent="0.25">
      <c r="D28" s="127" t="s">
        <v>41</v>
      </c>
      <c r="E28" s="127"/>
      <c r="F28" s="9">
        <f>F9+F17+F25</f>
        <v>118800</v>
      </c>
      <c r="G28" s="57" t="s">
        <v>127</v>
      </c>
    </row>
    <row r="30" spans="2:7" x14ac:dyDescent="0.25">
      <c r="B30" s="105" t="s">
        <v>175</v>
      </c>
      <c r="C30" s="105"/>
      <c r="D30" s="105"/>
    </row>
    <row r="31" spans="2:7" x14ac:dyDescent="0.25">
      <c r="B31" s="59" t="s">
        <v>176</v>
      </c>
      <c r="C31" s="105" t="s">
        <v>2</v>
      </c>
      <c r="D31" s="105"/>
    </row>
    <row r="32" spans="2:7" x14ac:dyDescent="0.25">
      <c r="B32" s="59">
        <v>1</v>
      </c>
      <c r="C32" s="104">
        <f>F28</f>
        <v>118800</v>
      </c>
      <c r="D32" s="104"/>
    </row>
    <row r="33" spans="2:4" x14ac:dyDescent="0.25">
      <c r="B33" s="59">
        <v>2</v>
      </c>
      <c r="C33" s="104">
        <v>0</v>
      </c>
      <c r="D33" s="105"/>
    </row>
    <row r="34" spans="2:4" x14ac:dyDescent="0.25">
      <c r="B34" s="59">
        <v>3</v>
      </c>
      <c r="C34" s="104">
        <v>0</v>
      </c>
      <c r="D34" s="105"/>
    </row>
    <row r="35" spans="2:4" x14ac:dyDescent="0.25">
      <c r="B35" s="59">
        <v>4</v>
      </c>
      <c r="C35" s="104">
        <v>0</v>
      </c>
      <c r="D35" s="105"/>
    </row>
    <row r="36" spans="2:4" x14ac:dyDescent="0.25">
      <c r="B36" s="59">
        <v>5</v>
      </c>
      <c r="C36" s="104">
        <v>0</v>
      </c>
      <c r="D36" s="105"/>
    </row>
    <row r="37" spans="2:4" x14ac:dyDescent="0.25">
      <c r="B37" s="59">
        <v>6</v>
      </c>
      <c r="C37" s="104">
        <v>0</v>
      </c>
      <c r="D37" s="105"/>
    </row>
    <row r="38" spans="2:4" x14ac:dyDescent="0.25">
      <c r="B38" s="59">
        <v>7</v>
      </c>
      <c r="C38" s="104">
        <v>0</v>
      </c>
      <c r="D38" s="105"/>
    </row>
    <row r="39" spans="2:4" x14ac:dyDescent="0.25">
      <c r="B39" s="59">
        <v>8</v>
      </c>
      <c r="C39" s="104">
        <v>0</v>
      </c>
      <c r="D39" s="105"/>
    </row>
    <row r="40" spans="2:4" x14ac:dyDescent="0.25">
      <c r="B40" s="59">
        <v>9</v>
      </c>
      <c r="C40" s="104">
        <v>0</v>
      </c>
      <c r="D40" s="105"/>
    </row>
    <row r="41" spans="2:4" x14ac:dyDescent="0.25">
      <c r="B41" s="59">
        <v>10</v>
      </c>
      <c r="C41" s="104">
        <v>0</v>
      </c>
      <c r="D41" s="105"/>
    </row>
    <row r="42" spans="2:4" x14ac:dyDescent="0.25">
      <c r="B42" s="59">
        <v>11</v>
      </c>
      <c r="C42" s="104">
        <v>0</v>
      </c>
      <c r="D42" s="105"/>
    </row>
    <row r="43" spans="2:4" x14ac:dyDescent="0.25">
      <c r="B43" s="59">
        <v>12</v>
      </c>
      <c r="C43" s="104">
        <v>0</v>
      </c>
      <c r="D43" s="105"/>
    </row>
    <row r="45" spans="2:4" x14ac:dyDescent="0.25">
      <c r="B45" s="105" t="s">
        <v>179</v>
      </c>
      <c r="C45" s="105"/>
    </row>
    <row r="46" spans="2:4" x14ac:dyDescent="0.25">
      <c r="B46" s="104">
        <f>SUM(C32:D43)</f>
        <v>118800</v>
      </c>
      <c r="C46" s="105"/>
    </row>
  </sheetData>
  <mergeCells count="21">
    <mergeCell ref="C36:D36"/>
    <mergeCell ref="B4:D4"/>
    <mergeCell ref="B12:D12"/>
    <mergeCell ref="B20:D20"/>
    <mergeCell ref="B27:E27"/>
    <mergeCell ref="D28:E28"/>
    <mergeCell ref="B30:D30"/>
    <mergeCell ref="C31:D31"/>
    <mergeCell ref="C32:D32"/>
    <mergeCell ref="C33:D33"/>
    <mergeCell ref="C34:D34"/>
    <mergeCell ref="C35:D35"/>
    <mergeCell ref="C43:D43"/>
    <mergeCell ref="B45:C45"/>
    <mergeCell ref="B46:C46"/>
    <mergeCell ref="C37:D37"/>
    <mergeCell ref="C38:D38"/>
    <mergeCell ref="C39:D39"/>
    <mergeCell ref="C40:D40"/>
    <mergeCell ref="C41:D41"/>
    <mergeCell ref="C42:D4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60"/>
  <sheetViews>
    <sheetView topLeftCell="B10" zoomScale="80" zoomScaleNormal="80" workbookViewId="0">
      <selection activeCell="I26" sqref="I26"/>
    </sheetView>
  </sheetViews>
  <sheetFormatPr baseColWidth="10" defaultRowHeight="15" x14ac:dyDescent="0.25"/>
  <cols>
    <col min="1" max="1" width="18.140625" customWidth="1"/>
    <col min="2" max="2" width="3.85546875" customWidth="1"/>
    <col min="3" max="3" width="19.140625" customWidth="1"/>
    <col min="4" max="4" width="13.85546875" customWidth="1"/>
    <col min="6" max="6" width="16.85546875" customWidth="1"/>
    <col min="9" max="9" width="11.5703125" customWidth="1"/>
    <col min="21" max="21" width="15.7109375" customWidth="1"/>
  </cols>
  <sheetData>
    <row r="2" spans="2:21" x14ac:dyDescent="0.25">
      <c r="C2" s="106" t="s">
        <v>43</v>
      </c>
      <c r="D2" s="106"/>
      <c r="E2" s="106"/>
      <c r="F2" s="106"/>
      <c r="G2" s="106"/>
      <c r="H2" s="106"/>
    </row>
    <row r="3" spans="2:21" x14ac:dyDescent="0.25">
      <c r="C3" s="129" t="s">
        <v>38</v>
      </c>
      <c r="D3" s="129"/>
      <c r="E3" s="106" t="s">
        <v>53</v>
      </c>
      <c r="F3" s="106"/>
      <c r="G3" s="106"/>
      <c r="H3" s="106" t="s">
        <v>54</v>
      </c>
      <c r="I3" s="106"/>
      <c r="J3" s="106"/>
      <c r="K3" s="106" t="s">
        <v>55</v>
      </c>
      <c r="L3" s="106"/>
      <c r="M3" s="106"/>
      <c r="N3" s="106" t="s">
        <v>56</v>
      </c>
      <c r="O3" s="106"/>
      <c r="P3" s="106"/>
      <c r="Q3" s="106" t="s">
        <v>57</v>
      </c>
      <c r="R3" s="106"/>
      <c r="S3" s="106"/>
      <c r="T3" s="106" t="s">
        <v>52</v>
      </c>
      <c r="U3" s="106"/>
    </row>
    <row r="4" spans="2:21" x14ac:dyDescent="0.25">
      <c r="B4" s="2" t="s">
        <v>50</v>
      </c>
      <c r="C4" s="106" t="s">
        <v>51</v>
      </c>
      <c r="D4" s="106"/>
      <c r="E4" s="32" t="s">
        <v>34</v>
      </c>
      <c r="F4" s="32" t="s">
        <v>36</v>
      </c>
      <c r="G4" s="31" t="s">
        <v>58</v>
      </c>
      <c r="H4" s="32" t="s">
        <v>34</v>
      </c>
      <c r="I4" s="32" t="s">
        <v>36</v>
      </c>
      <c r="J4" s="31" t="s">
        <v>58</v>
      </c>
      <c r="K4" s="32" t="s">
        <v>34</v>
      </c>
      <c r="L4" s="32" t="s">
        <v>36</v>
      </c>
      <c r="M4" s="31" t="s">
        <v>58</v>
      </c>
      <c r="N4" s="32" t="s">
        <v>34</v>
      </c>
      <c r="O4" s="32" t="s">
        <v>36</v>
      </c>
      <c r="P4" s="31" t="s">
        <v>58</v>
      </c>
      <c r="Q4" s="32" t="s">
        <v>34</v>
      </c>
      <c r="R4" s="32" t="s">
        <v>36</v>
      </c>
      <c r="S4" s="31" t="s">
        <v>58</v>
      </c>
      <c r="T4" s="106" t="s">
        <v>59</v>
      </c>
      <c r="U4" s="106"/>
    </row>
    <row r="5" spans="2:21" x14ac:dyDescent="0.25">
      <c r="B5" s="2">
        <v>1</v>
      </c>
      <c r="C5" s="128" t="s">
        <v>45</v>
      </c>
      <c r="D5" s="128"/>
      <c r="E5" s="9">
        <v>400</v>
      </c>
      <c r="F5" s="8">
        <v>2</v>
      </c>
      <c r="G5" s="9">
        <f>E5*F5*B5</f>
        <v>800</v>
      </c>
      <c r="H5" s="9">
        <v>400</v>
      </c>
      <c r="I5" s="8">
        <v>2</v>
      </c>
      <c r="J5" s="9">
        <f>H5*I5*B5</f>
        <v>800</v>
      </c>
      <c r="K5" s="9">
        <v>350</v>
      </c>
      <c r="L5" s="8">
        <v>2</v>
      </c>
      <c r="M5" s="9">
        <f>K5*L5*B5</f>
        <v>700</v>
      </c>
      <c r="N5" s="9">
        <v>500</v>
      </c>
      <c r="O5" s="8">
        <v>1</v>
      </c>
      <c r="P5" s="9">
        <f>N5*O5*B5</f>
        <v>500</v>
      </c>
      <c r="Q5" s="9">
        <v>80</v>
      </c>
      <c r="R5" s="8">
        <v>1</v>
      </c>
      <c r="S5" s="9">
        <f>Q5*R5*B5</f>
        <v>80</v>
      </c>
      <c r="T5" s="8" t="s">
        <v>5</v>
      </c>
      <c r="U5" s="9">
        <f>G5+J5+M5+P5+S5</f>
        <v>2880</v>
      </c>
    </row>
    <row r="6" spans="2:21" x14ac:dyDescent="0.25">
      <c r="B6" s="2">
        <v>3</v>
      </c>
      <c r="C6" s="128" t="s">
        <v>46</v>
      </c>
      <c r="D6" s="128"/>
      <c r="E6" s="9">
        <v>400</v>
      </c>
      <c r="F6" s="8">
        <v>2</v>
      </c>
      <c r="G6" s="9">
        <f t="shared" ref="G6:G9" si="0">E6*F6*B6</f>
        <v>2400</v>
      </c>
      <c r="H6" s="9">
        <v>400</v>
      </c>
      <c r="I6" s="8">
        <v>2</v>
      </c>
      <c r="J6" s="9">
        <f t="shared" ref="J6:J9" si="1">H6*I6*B6</f>
        <v>2400</v>
      </c>
      <c r="K6" s="9">
        <v>350</v>
      </c>
      <c r="L6" s="8">
        <v>2</v>
      </c>
      <c r="M6" s="9">
        <f t="shared" ref="M6:M9" si="2">K6*L6*B6</f>
        <v>2100</v>
      </c>
      <c r="N6" s="9">
        <v>500</v>
      </c>
      <c r="O6" s="8">
        <v>1</v>
      </c>
      <c r="P6" s="9">
        <f t="shared" ref="P6:P9" si="3">N6*O6*B6</f>
        <v>1500</v>
      </c>
      <c r="Q6" s="9">
        <v>80</v>
      </c>
      <c r="R6" s="8">
        <v>1</v>
      </c>
      <c r="S6" s="9">
        <f t="shared" ref="S6:S9" si="4">Q6*R6*B6</f>
        <v>240</v>
      </c>
      <c r="T6" s="8" t="s">
        <v>5</v>
      </c>
      <c r="U6" s="9">
        <f t="shared" ref="U6:U8" si="5">G6+J6+M6+P6+S6</f>
        <v>8640</v>
      </c>
    </row>
    <row r="7" spans="2:21" x14ac:dyDescent="0.25">
      <c r="B7" s="2">
        <v>2</v>
      </c>
      <c r="C7" s="128" t="s">
        <v>47</v>
      </c>
      <c r="D7" s="128"/>
      <c r="E7" s="9">
        <v>400</v>
      </c>
      <c r="F7" s="8">
        <v>2</v>
      </c>
      <c r="G7" s="9">
        <f t="shared" si="0"/>
        <v>1600</v>
      </c>
      <c r="H7" s="9">
        <v>400</v>
      </c>
      <c r="I7" s="8">
        <v>2</v>
      </c>
      <c r="J7" s="9">
        <f t="shared" si="1"/>
        <v>1600</v>
      </c>
      <c r="K7" s="9">
        <v>350</v>
      </c>
      <c r="L7" s="8">
        <v>2</v>
      </c>
      <c r="M7" s="9">
        <f t="shared" si="2"/>
        <v>1400</v>
      </c>
      <c r="N7" s="9">
        <v>500</v>
      </c>
      <c r="O7" s="8">
        <v>1</v>
      </c>
      <c r="P7" s="9">
        <f t="shared" si="3"/>
        <v>1000</v>
      </c>
      <c r="Q7" s="9">
        <v>80</v>
      </c>
      <c r="R7" s="8">
        <v>1</v>
      </c>
      <c r="S7" s="9">
        <f t="shared" si="4"/>
        <v>160</v>
      </c>
      <c r="T7" s="8" t="s">
        <v>5</v>
      </c>
      <c r="U7" s="9">
        <f t="shared" si="5"/>
        <v>5760</v>
      </c>
    </row>
    <row r="8" spans="2:21" x14ac:dyDescent="0.25">
      <c r="B8" s="2">
        <v>1</v>
      </c>
      <c r="C8" s="128" t="s">
        <v>48</v>
      </c>
      <c r="D8" s="128"/>
      <c r="E8" s="9">
        <v>400</v>
      </c>
      <c r="F8" s="8">
        <v>2</v>
      </c>
      <c r="G8" s="9">
        <f t="shared" si="0"/>
        <v>800</v>
      </c>
      <c r="H8" s="9">
        <v>400</v>
      </c>
      <c r="I8" s="8">
        <v>2</v>
      </c>
      <c r="J8" s="9">
        <f t="shared" si="1"/>
        <v>800</v>
      </c>
      <c r="K8" s="9">
        <v>350</v>
      </c>
      <c r="L8" s="8">
        <v>2</v>
      </c>
      <c r="M8" s="9">
        <f t="shared" si="2"/>
        <v>700</v>
      </c>
      <c r="N8" s="9">
        <v>500</v>
      </c>
      <c r="O8" s="8">
        <v>1</v>
      </c>
      <c r="P8" s="9">
        <f t="shared" si="3"/>
        <v>500</v>
      </c>
      <c r="Q8" s="9">
        <v>80</v>
      </c>
      <c r="R8" s="8">
        <v>1</v>
      </c>
      <c r="S8" s="9">
        <f t="shared" si="4"/>
        <v>80</v>
      </c>
      <c r="T8" s="8" t="s">
        <v>5</v>
      </c>
      <c r="U8" s="9">
        <f t="shared" si="5"/>
        <v>2880</v>
      </c>
    </row>
    <row r="9" spans="2:21" x14ac:dyDescent="0.25">
      <c r="B9" s="2">
        <v>20</v>
      </c>
      <c r="C9" s="128" t="s">
        <v>49</v>
      </c>
      <c r="D9" s="128"/>
      <c r="E9" s="9">
        <v>400</v>
      </c>
      <c r="F9" s="8">
        <v>2</v>
      </c>
      <c r="G9" s="9">
        <f t="shared" si="0"/>
        <v>16000</v>
      </c>
      <c r="H9" s="9">
        <v>400</v>
      </c>
      <c r="I9" s="8">
        <v>2</v>
      </c>
      <c r="J9" s="9">
        <f t="shared" si="1"/>
        <v>16000</v>
      </c>
      <c r="K9" s="9">
        <v>350</v>
      </c>
      <c r="L9" s="8">
        <v>2</v>
      </c>
      <c r="M9" s="9">
        <f t="shared" si="2"/>
        <v>14000</v>
      </c>
      <c r="N9" s="9">
        <v>500</v>
      </c>
      <c r="O9" s="8">
        <v>1</v>
      </c>
      <c r="P9" s="9">
        <f t="shared" si="3"/>
        <v>10000</v>
      </c>
      <c r="Q9" s="9">
        <v>80</v>
      </c>
      <c r="R9" s="8">
        <v>1</v>
      </c>
      <c r="S9" s="9">
        <f t="shared" si="4"/>
        <v>1600</v>
      </c>
      <c r="T9" s="8" t="s">
        <v>5</v>
      </c>
      <c r="U9" s="9">
        <f>G9+J9+M9+P9+S9</f>
        <v>57600</v>
      </c>
    </row>
    <row r="10" spans="2:21" x14ac:dyDescent="0.25">
      <c r="G10" s="4"/>
      <c r="S10" s="106" t="s">
        <v>41</v>
      </c>
      <c r="T10" s="106"/>
      <c r="U10" s="9">
        <f>SUM(U5:U9)</f>
        <v>77760</v>
      </c>
    </row>
    <row r="11" spans="2:21" x14ac:dyDescent="0.25">
      <c r="C11" s="106" t="s">
        <v>60</v>
      </c>
      <c r="D11" s="106"/>
      <c r="E11" s="106"/>
      <c r="F11" s="106"/>
    </row>
    <row r="12" spans="2:21" x14ac:dyDescent="0.25">
      <c r="C12" s="33" t="s">
        <v>61</v>
      </c>
      <c r="D12" s="34">
        <f>U10</f>
        <v>77760</v>
      </c>
    </row>
    <row r="13" spans="2:21" x14ac:dyDescent="0.25">
      <c r="C13" s="8" t="s">
        <v>62</v>
      </c>
      <c r="D13" s="9">
        <f>D12</f>
        <v>77760</v>
      </c>
    </row>
    <row r="15" spans="2:21" x14ac:dyDescent="0.25">
      <c r="C15" s="106" t="s">
        <v>43</v>
      </c>
      <c r="D15" s="106"/>
      <c r="E15" s="106"/>
      <c r="F15" s="106"/>
      <c r="G15" s="106"/>
      <c r="H15" s="106"/>
    </row>
    <row r="16" spans="2:21" x14ac:dyDescent="0.25">
      <c r="C16" s="129" t="s">
        <v>37</v>
      </c>
      <c r="D16" s="129"/>
      <c r="E16" s="106" t="s">
        <v>53</v>
      </c>
      <c r="F16" s="106"/>
      <c r="G16" s="106"/>
      <c r="H16" s="106" t="s">
        <v>54</v>
      </c>
      <c r="I16" s="106"/>
      <c r="J16" s="106"/>
      <c r="K16" s="106" t="s">
        <v>55</v>
      </c>
      <c r="L16" s="106"/>
      <c r="M16" s="106"/>
      <c r="N16" s="106" t="s">
        <v>56</v>
      </c>
      <c r="O16" s="106"/>
      <c r="P16" s="106"/>
      <c r="Q16" s="106" t="s">
        <v>57</v>
      </c>
      <c r="R16" s="106"/>
      <c r="S16" s="106"/>
      <c r="T16" s="106" t="s">
        <v>52</v>
      </c>
      <c r="U16" s="106"/>
    </row>
    <row r="17" spans="2:21" x14ac:dyDescent="0.25">
      <c r="B17" s="2" t="s">
        <v>50</v>
      </c>
      <c r="C17" s="106" t="s">
        <v>51</v>
      </c>
      <c r="D17" s="106"/>
      <c r="E17" s="32" t="s">
        <v>34</v>
      </c>
      <c r="F17" s="32" t="s">
        <v>36</v>
      </c>
      <c r="G17" s="31" t="s">
        <v>58</v>
      </c>
      <c r="H17" s="32" t="s">
        <v>34</v>
      </c>
      <c r="I17" s="32" t="s">
        <v>36</v>
      </c>
      <c r="J17" s="31" t="s">
        <v>58</v>
      </c>
      <c r="K17" s="32" t="s">
        <v>34</v>
      </c>
      <c r="L17" s="32" t="s">
        <v>36</v>
      </c>
      <c r="M17" s="31" t="s">
        <v>58</v>
      </c>
      <c r="N17" s="32" t="s">
        <v>34</v>
      </c>
      <c r="O17" s="32" t="s">
        <v>36</v>
      </c>
      <c r="P17" s="31" t="s">
        <v>58</v>
      </c>
      <c r="Q17" s="32" t="s">
        <v>34</v>
      </c>
      <c r="R17" s="32" t="s">
        <v>36</v>
      </c>
      <c r="S17" s="31" t="s">
        <v>58</v>
      </c>
      <c r="T17" s="106" t="s">
        <v>59</v>
      </c>
      <c r="U17" s="106"/>
    </row>
    <row r="18" spans="2:21" x14ac:dyDescent="0.25">
      <c r="B18" s="2">
        <v>7</v>
      </c>
      <c r="C18" s="128" t="s">
        <v>49</v>
      </c>
      <c r="D18" s="128"/>
      <c r="E18" s="9">
        <v>400</v>
      </c>
      <c r="F18" s="8">
        <v>2</v>
      </c>
      <c r="G18" s="9">
        <f t="shared" ref="G18" si="6">E18*F18*B18</f>
        <v>5600</v>
      </c>
      <c r="H18" s="9">
        <v>400</v>
      </c>
      <c r="I18" s="8">
        <v>2</v>
      </c>
      <c r="J18" s="9">
        <f t="shared" ref="J18" si="7">H18*I18*B18</f>
        <v>5600</v>
      </c>
      <c r="K18" s="9">
        <v>350</v>
      </c>
      <c r="L18" s="8">
        <v>2</v>
      </c>
      <c r="M18" s="9">
        <f t="shared" ref="M18" si="8">K18*L18*B18</f>
        <v>4900</v>
      </c>
      <c r="N18" s="9">
        <v>500</v>
      </c>
      <c r="O18" s="8">
        <v>1</v>
      </c>
      <c r="P18" s="9">
        <f t="shared" ref="P18" si="9">N18*O18*B18</f>
        <v>3500</v>
      </c>
      <c r="Q18" s="9">
        <v>80</v>
      </c>
      <c r="R18" s="8">
        <v>1</v>
      </c>
      <c r="S18" s="9">
        <f>Q18*R18*B18</f>
        <v>560</v>
      </c>
      <c r="T18" s="8" t="s">
        <v>5</v>
      </c>
      <c r="U18" s="9">
        <f>G18+J18+M18+P18+S18</f>
        <v>20160</v>
      </c>
    </row>
    <row r="19" spans="2:21" x14ac:dyDescent="0.25">
      <c r="G19" s="4">
        <f>G18/400</f>
        <v>14</v>
      </c>
      <c r="S19" s="106" t="s">
        <v>41</v>
      </c>
      <c r="T19" s="106"/>
      <c r="U19" s="9">
        <f>SUM(U18:U18)</f>
        <v>20160</v>
      </c>
    </row>
    <row r="20" spans="2:21" x14ac:dyDescent="0.25">
      <c r="C20" s="106" t="s">
        <v>60</v>
      </c>
      <c r="D20" s="106"/>
      <c r="E20" s="106"/>
      <c r="F20" s="106"/>
    </row>
    <row r="21" spans="2:21" x14ac:dyDescent="0.25">
      <c r="C21" s="33" t="s">
        <v>61</v>
      </c>
      <c r="D21" s="34">
        <f>U19</f>
        <v>20160</v>
      </c>
    </row>
    <row r="22" spans="2:21" x14ac:dyDescent="0.25">
      <c r="C22" s="8" t="s">
        <v>62</v>
      </c>
      <c r="D22" s="9">
        <f>D21</f>
        <v>20160</v>
      </c>
    </row>
    <row r="24" spans="2:21" x14ac:dyDescent="0.25">
      <c r="C24" s="106" t="s">
        <v>43</v>
      </c>
      <c r="D24" s="106"/>
      <c r="E24" s="106"/>
      <c r="F24" s="106"/>
      <c r="G24" s="106"/>
      <c r="H24" s="106"/>
    </row>
    <row r="25" spans="2:21" x14ac:dyDescent="0.25">
      <c r="C25" s="129" t="s">
        <v>39</v>
      </c>
      <c r="D25" s="129"/>
      <c r="E25" s="106" t="s">
        <v>53</v>
      </c>
      <c r="F25" s="106"/>
      <c r="G25" s="106"/>
      <c r="H25" s="106" t="s">
        <v>54</v>
      </c>
      <c r="I25" s="106"/>
      <c r="J25" s="106"/>
      <c r="K25" s="106" t="s">
        <v>55</v>
      </c>
      <c r="L25" s="106"/>
      <c r="M25" s="106"/>
      <c r="N25" s="106" t="s">
        <v>56</v>
      </c>
      <c r="O25" s="106"/>
      <c r="P25" s="106"/>
      <c r="Q25" s="106" t="s">
        <v>57</v>
      </c>
      <c r="R25" s="106"/>
      <c r="S25" s="106"/>
      <c r="T25" s="106" t="s">
        <v>52</v>
      </c>
      <c r="U25" s="106"/>
    </row>
    <row r="26" spans="2:21" x14ac:dyDescent="0.25">
      <c r="B26" s="2" t="s">
        <v>50</v>
      </c>
      <c r="C26" s="106" t="s">
        <v>51</v>
      </c>
      <c r="D26" s="106"/>
      <c r="E26" s="32" t="s">
        <v>34</v>
      </c>
      <c r="F26" s="32" t="s">
        <v>36</v>
      </c>
      <c r="G26" s="31" t="s">
        <v>58</v>
      </c>
      <c r="H26" s="32" t="s">
        <v>34</v>
      </c>
      <c r="I26" s="32" t="s">
        <v>36</v>
      </c>
      <c r="J26" s="31" t="s">
        <v>58</v>
      </c>
      <c r="K26" s="32" t="s">
        <v>34</v>
      </c>
      <c r="L26" s="32" t="s">
        <v>36</v>
      </c>
      <c r="M26" s="31" t="s">
        <v>58</v>
      </c>
      <c r="N26" s="32" t="s">
        <v>34</v>
      </c>
      <c r="O26" s="32" t="s">
        <v>36</v>
      </c>
      <c r="P26" s="31" t="s">
        <v>58</v>
      </c>
      <c r="Q26" s="32" t="s">
        <v>34</v>
      </c>
      <c r="R26" s="32" t="s">
        <v>36</v>
      </c>
      <c r="S26" s="31" t="s">
        <v>58</v>
      </c>
      <c r="T26" s="106" t="s">
        <v>59</v>
      </c>
      <c r="U26" s="106"/>
    </row>
    <row r="27" spans="2:21" x14ac:dyDescent="0.25">
      <c r="B27" s="2">
        <v>6</v>
      </c>
      <c r="C27" s="128" t="s">
        <v>49</v>
      </c>
      <c r="D27" s="128"/>
      <c r="E27" s="9">
        <v>400</v>
      </c>
      <c r="F27" s="8">
        <v>2</v>
      </c>
      <c r="G27" s="9">
        <f t="shared" ref="G27" si="10">E27*F27*B27</f>
        <v>4800</v>
      </c>
      <c r="H27" s="9">
        <v>400</v>
      </c>
      <c r="I27" s="8">
        <v>2</v>
      </c>
      <c r="J27" s="9">
        <f t="shared" ref="J27" si="11">H27*I27*B27</f>
        <v>4800</v>
      </c>
      <c r="K27" s="9">
        <v>350</v>
      </c>
      <c r="L27" s="8">
        <v>2</v>
      </c>
      <c r="M27" s="9">
        <f t="shared" ref="M27" si="12">K27*L27*B27</f>
        <v>4200</v>
      </c>
      <c r="N27" s="9">
        <v>500</v>
      </c>
      <c r="O27" s="8">
        <v>1</v>
      </c>
      <c r="P27" s="9">
        <f t="shared" ref="P27" si="13">N27*O27*B27</f>
        <v>3000</v>
      </c>
      <c r="Q27" s="9">
        <v>80</v>
      </c>
      <c r="R27" s="8">
        <v>1</v>
      </c>
      <c r="S27" s="9">
        <f t="shared" ref="S27" si="14">Q27*R27*B27</f>
        <v>480</v>
      </c>
      <c r="T27" s="8" t="s">
        <v>5</v>
      </c>
      <c r="U27" s="9">
        <f>G27+J27+M27+P27+S27</f>
        <v>17280</v>
      </c>
    </row>
    <row r="28" spans="2:21" x14ac:dyDescent="0.25">
      <c r="G28" s="4">
        <f>G27/400</f>
        <v>12</v>
      </c>
      <c r="S28" s="106" t="s">
        <v>41</v>
      </c>
      <c r="T28" s="106"/>
      <c r="U28" s="9">
        <f>SUM(U27:U27)</f>
        <v>17280</v>
      </c>
    </row>
    <row r="29" spans="2:21" x14ac:dyDescent="0.25">
      <c r="C29" s="106" t="s">
        <v>60</v>
      </c>
      <c r="D29" s="106"/>
      <c r="E29" s="106"/>
      <c r="F29" s="106"/>
    </row>
    <row r="30" spans="2:21" x14ac:dyDescent="0.25">
      <c r="C30" s="33" t="s">
        <v>61</v>
      </c>
      <c r="D30" s="34">
        <f>U28</f>
        <v>17280</v>
      </c>
    </row>
    <row r="31" spans="2:21" x14ac:dyDescent="0.25">
      <c r="C31" s="8" t="s">
        <v>62</v>
      </c>
      <c r="D31" s="9">
        <f>D30</f>
        <v>17280</v>
      </c>
    </row>
    <row r="34" spans="3:7" x14ac:dyDescent="0.25">
      <c r="C34" s="123" t="s">
        <v>63</v>
      </c>
      <c r="D34" s="123"/>
      <c r="E34" s="123"/>
      <c r="F34" s="38">
        <f>D12+D21+D30</f>
        <v>115200</v>
      </c>
      <c r="G34" t="s">
        <v>65</v>
      </c>
    </row>
    <row r="35" spans="3:7" x14ac:dyDescent="0.25">
      <c r="C35" s="119" t="s">
        <v>64</v>
      </c>
      <c r="D35" s="119"/>
      <c r="E35" s="119"/>
      <c r="F35" s="39">
        <f>F34</f>
        <v>115200</v>
      </c>
      <c r="G35" t="s">
        <v>66</v>
      </c>
    </row>
    <row r="37" spans="3:7" x14ac:dyDescent="0.25">
      <c r="C37" s="8" t="s">
        <v>126</v>
      </c>
      <c r="D37" s="8" t="s">
        <v>2</v>
      </c>
    </row>
    <row r="38" spans="3:7" x14ac:dyDescent="0.25">
      <c r="C38" s="8" t="s">
        <v>122</v>
      </c>
      <c r="D38" s="8">
        <f>(F27*B27)+(F18*B18)+(F9*B9)+(B8*F8)+(B7*F7)+(B6*F6)+(B5*F5)</f>
        <v>80</v>
      </c>
    </row>
    <row r="39" spans="3:7" x14ac:dyDescent="0.25">
      <c r="C39" s="8" t="s">
        <v>123</v>
      </c>
      <c r="D39" s="8">
        <f>(I5*B5)+(B6*I6)+(B7*I7)+(B8*I8)+(B9*I9)+(B18*I18)+(B27*I27)</f>
        <v>80</v>
      </c>
    </row>
    <row r="40" spans="3:7" x14ac:dyDescent="0.25">
      <c r="C40" s="8" t="s">
        <v>124</v>
      </c>
      <c r="D40" s="8">
        <f>(I6*B6)+(B7*I7)+(B8*I8)+(B9*I9)+(B5*I5)+(B18*I18)+(B27*I27)</f>
        <v>80</v>
      </c>
    </row>
    <row r="41" spans="3:7" x14ac:dyDescent="0.25">
      <c r="C41" s="8" t="s">
        <v>125</v>
      </c>
      <c r="D41" s="8">
        <f>(O27*B27)+(O18*B18)+(O9*B9)+(B8*O8)+(B7*O7)+(B6*O6)+(B5*O5)</f>
        <v>40</v>
      </c>
    </row>
    <row r="42" spans="3:7" x14ac:dyDescent="0.25">
      <c r="C42" s="8" t="s">
        <v>121</v>
      </c>
      <c r="D42" s="8">
        <f>(R27*B27)+(R18*B18)+(R9*B9)+(B8*R8)+(B7*R7)+(B6*R6)+(B5*R5)</f>
        <v>40</v>
      </c>
      <c r="E42">
        <v>0</v>
      </c>
    </row>
    <row r="44" spans="3:7" x14ac:dyDescent="0.25">
      <c r="C44" s="105" t="s">
        <v>175</v>
      </c>
      <c r="D44" s="105"/>
      <c r="E44" s="105"/>
    </row>
    <row r="45" spans="3:7" x14ac:dyDescent="0.25">
      <c r="C45" s="59" t="s">
        <v>176</v>
      </c>
      <c r="D45" s="105" t="s">
        <v>2</v>
      </c>
      <c r="E45" s="105"/>
    </row>
    <row r="46" spans="3:7" x14ac:dyDescent="0.25">
      <c r="C46" s="59">
        <v>1</v>
      </c>
      <c r="D46" s="104">
        <f>F34</f>
        <v>115200</v>
      </c>
      <c r="E46" s="104"/>
    </row>
    <row r="47" spans="3:7" x14ac:dyDescent="0.25">
      <c r="C47" s="59">
        <v>2</v>
      </c>
      <c r="D47" s="104">
        <f>$N$67+$N$45+$R$23</f>
        <v>0</v>
      </c>
      <c r="E47" s="105"/>
    </row>
    <row r="48" spans="3:7" x14ac:dyDescent="0.25">
      <c r="C48" s="59">
        <v>3</v>
      </c>
      <c r="D48" s="104">
        <f>$N$67+$N$45+$R$23</f>
        <v>0</v>
      </c>
      <c r="E48" s="105"/>
    </row>
    <row r="49" spans="3:5" x14ac:dyDescent="0.25">
      <c r="C49" s="59">
        <v>4</v>
      </c>
      <c r="D49" s="104">
        <f>$N$67+$N$45+$R$23</f>
        <v>0</v>
      </c>
      <c r="E49" s="105"/>
    </row>
    <row r="50" spans="3:5" x14ac:dyDescent="0.25">
      <c r="C50" s="59">
        <v>5</v>
      </c>
      <c r="D50" s="104">
        <f>$N$67+$N$45+$R$23</f>
        <v>0</v>
      </c>
      <c r="E50" s="105"/>
    </row>
    <row r="51" spans="3:5" x14ac:dyDescent="0.25">
      <c r="C51" s="59">
        <v>6</v>
      </c>
      <c r="D51" s="104">
        <f>D46</f>
        <v>115200</v>
      </c>
      <c r="E51" s="105"/>
    </row>
    <row r="52" spans="3:5" x14ac:dyDescent="0.25">
      <c r="C52" s="59">
        <v>7</v>
      </c>
      <c r="D52" s="104">
        <f t="shared" ref="D52:D57" si="15">$N$67+$N$45+$R$23</f>
        <v>0</v>
      </c>
      <c r="E52" s="105"/>
    </row>
    <row r="53" spans="3:5" x14ac:dyDescent="0.25">
      <c r="C53" s="59">
        <v>8</v>
      </c>
      <c r="D53" s="104">
        <f t="shared" si="15"/>
        <v>0</v>
      </c>
      <c r="E53" s="105"/>
    </row>
    <row r="54" spans="3:5" x14ac:dyDescent="0.25">
      <c r="C54" s="59">
        <v>9</v>
      </c>
      <c r="D54" s="104">
        <f t="shared" si="15"/>
        <v>0</v>
      </c>
      <c r="E54" s="105"/>
    </row>
    <row r="55" spans="3:5" x14ac:dyDescent="0.25">
      <c r="C55" s="59">
        <v>10</v>
      </c>
      <c r="D55" s="104">
        <f t="shared" si="15"/>
        <v>0</v>
      </c>
      <c r="E55" s="105"/>
    </row>
    <row r="56" spans="3:5" x14ac:dyDescent="0.25">
      <c r="C56" s="59">
        <v>11</v>
      </c>
      <c r="D56" s="104">
        <f t="shared" si="15"/>
        <v>0</v>
      </c>
      <c r="E56" s="105"/>
    </row>
    <row r="57" spans="3:5" x14ac:dyDescent="0.25">
      <c r="C57" s="59">
        <v>12</v>
      </c>
      <c r="D57" s="104">
        <f t="shared" si="15"/>
        <v>0</v>
      </c>
      <c r="E57" s="105"/>
    </row>
    <row r="59" spans="3:5" x14ac:dyDescent="0.25">
      <c r="C59" s="105" t="s">
        <v>179</v>
      </c>
      <c r="D59" s="105"/>
    </row>
    <row r="60" spans="3:5" x14ac:dyDescent="0.25">
      <c r="C60" s="104">
        <f>SUM(D46:E57)</f>
        <v>230400</v>
      </c>
      <c r="D60" s="105"/>
    </row>
  </sheetData>
  <mergeCells count="61">
    <mergeCell ref="C2:H2"/>
    <mergeCell ref="S10:T10"/>
    <mergeCell ref="E3:G3"/>
    <mergeCell ref="H3:J3"/>
    <mergeCell ref="C4:D4"/>
    <mergeCell ref="C3:D3"/>
    <mergeCell ref="C5:D5"/>
    <mergeCell ref="C6:D6"/>
    <mergeCell ref="C7:D7"/>
    <mergeCell ref="C8:D8"/>
    <mergeCell ref="C9:D9"/>
    <mergeCell ref="K3:M3"/>
    <mergeCell ref="N3:P3"/>
    <mergeCell ref="Q3:S3"/>
    <mergeCell ref="T3:U3"/>
    <mergeCell ref="T4:U4"/>
    <mergeCell ref="C11:F11"/>
    <mergeCell ref="C15:H15"/>
    <mergeCell ref="C16:D16"/>
    <mergeCell ref="E16:G16"/>
    <mergeCell ref="H16:J16"/>
    <mergeCell ref="N16:P16"/>
    <mergeCell ref="Q16:S16"/>
    <mergeCell ref="T16:U16"/>
    <mergeCell ref="C17:D17"/>
    <mergeCell ref="T17:U17"/>
    <mergeCell ref="K16:M16"/>
    <mergeCell ref="C18:D18"/>
    <mergeCell ref="S19:T19"/>
    <mergeCell ref="C20:F20"/>
    <mergeCell ref="C24:H24"/>
    <mergeCell ref="C29:F29"/>
    <mergeCell ref="C25:D25"/>
    <mergeCell ref="E25:G25"/>
    <mergeCell ref="H25:J25"/>
    <mergeCell ref="K25:M25"/>
    <mergeCell ref="T25:U25"/>
    <mergeCell ref="C26:D26"/>
    <mergeCell ref="T26:U26"/>
    <mergeCell ref="C27:D27"/>
    <mergeCell ref="S28:T28"/>
    <mergeCell ref="N25:P25"/>
    <mergeCell ref="Q25:S25"/>
    <mergeCell ref="D45:E45"/>
    <mergeCell ref="D46:E46"/>
    <mergeCell ref="C34:E34"/>
    <mergeCell ref="C35:E35"/>
    <mergeCell ref="C44:E44"/>
    <mergeCell ref="D47:E47"/>
    <mergeCell ref="C60:D60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C59:D5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U90"/>
  <sheetViews>
    <sheetView topLeftCell="A67" zoomScale="120" zoomScaleNormal="120" workbookViewId="0">
      <selection activeCell="D76" sqref="D76:E76"/>
    </sheetView>
  </sheetViews>
  <sheetFormatPr baseColWidth="10" defaultRowHeight="15" x14ac:dyDescent="0.25"/>
  <cols>
    <col min="2" max="2" width="3.42578125" customWidth="1"/>
    <col min="5" max="5" width="15" customWidth="1"/>
    <col min="6" max="6" width="12.42578125" customWidth="1"/>
    <col min="7" max="9" width="11.42578125" customWidth="1"/>
    <col min="10" max="10" width="13.140625" customWidth="1"/>
    <col min="11" max="11" width="13.85546875" customWidth="1"/>
    <col min="12" max="12" width="12.85546875" customWidth="1"/>
    <col min="13" max="13" width="12.7109375" customWidth="1"/>
    <col min="14" max="14" width="14.140625" customWidth="1"/>
    <col min="16" max="16" width="12" customWidth="1"/>
    <col min="17" max="17" width="16.85546875" customWidth="1"/>
    <col min="18" max="18" width="15.28515625" customWidth="1"/>
  </cols>
  <sheetData>
    <row r="3" spans="2:21" x14ac:dyDescent="0.25">
      <c r="C3" s="105" t="s">
        <v>129</v>
      </c>
      <c r="D3" s="105"/>
      <c r="E3" s="105"/>
      <c r="F3" s="131"/>
      <c r="G3" s="131"/>
      <c r="H3" s="131"/>
    </row>
    <row r="4" spans="2:21" x14ac:dyDescent="0.25">
      <c r="C4" s="1"/>
      <c r="D4" s="1"/>
      <c r="E4" s="1">
        <v>1</v>
      </c>
      <c r="F4" s="105" t="s">
        <v>130</v>
      </c>
      <c r="G4" s="105"/>
      <c r="H4" s="105"/>
      <c r="I4" s="105"/>
      <c r="J4" s="105"/>
      <c r="K4" s="105"/>
      <c r="O4" s="1" t="s">
        <v>158</v>
      </c>
      <c r="P4" s="1" t="s">
        <v>159</v>
      </c>
      <c r="Q4" s="1" t="s">
        <v>156</v>
      </c>
      <c r="R4" s="1" t="s">
        <v>160</v>
      </c>
      <c r="S4" s="132" t="s">
        <v>160</v>
      </c>
      <c r="T4" s="132"/>
      <c r="U4" s="1" t="s">
        <v>164</v>
      </c>
    </row>
    <row r="5" spans="2:21" x14ac:dyDescent="0.25">
      <c r="C5" s="105" t="s">
        <v>126</v>
      </c>
      <c r="D5" s="105"/>
      <c r="E5" s="2" t="s">
        <v>18</v>
      </c>
      <c r="F5" s="60" t="s">
        <v>147</v>
      </c>
      <c r="G5" s="2" t="s">
        <v>2</v>
      </c>
      <c r="H5" s="60" t="s">
        <v>146</v>
      </c>
      <c r="I5" s="2" t="s">
        <v>2</v>
      </c>
      <c r="J5" s="60" t="s">
        <v>145</v>
      </c>
      <c r="K5" s="2" t="s">
        <v>2</v>
      </c>
      <c r="L5" s="61" t="s">
        <v>144</v>
      </c>
      <c r="M5" s="8" t="s">
        <v>149</v>
      </c>
      <c r="N5" s="31" t="s">
        <v>148</v>
      </c>
      <c r="O5" s="1"/>
      <c r="P5" s="1" t="s">
        <v>163</v>
      </c>
      <c r="Q5" s="1"/>
      <c r="R5" s="1" t="s">
        <v>161</v>
      </c>
      <c r="S5" s="133" t="s">
        <v>162</v>
      </c>
      <c r="T5" s="133"/>
      <c r="U5" t="s">
        <v>165</v>
      </c>
    </row>
    <row r="6" spans="2:21" x14ac:dyDescent="0.25">
      <c r="B6" s="59">
        <v>1</v>
      </c>
      <c r="C6" s="102" t="s">
        <v>132</v>
      </c>
      <c r="D6" s="102"/>
      <c r="E6" s="3">
        <v>1000</v>
      </c>
      <c r="F6" s="60"/>
      <c r="G6" s="2">
        <v>6</v>
      </c>
      <c r="H6" s="60"/>
      <c r="I6" s="2">
        <v>2</v>
      </c>
      <c r="J6" s="60"/>
      <c r="K6" s="2">
        <v>1</v>
      </c>
      <c r="L6" s="16">
        <f>SUM(F6:K6)</f>
        <v>9</v>
      </c>
      <c r="M6" s="9">
        <f>L6*E6</f>
        <v>9000</v>
      </c>
      <c r="N6" s="8" t="s">
        <v>168</v>
      </c>
      <c r="O6" s="1"/>
      <c r="P6" s="1"/>
      <c r="Q6" s="1"/>
    </row>
    <row r="7" spans="2:21" x14ac:dyDescent="0.25">
      <c r="B7" s="59">
        <v>2</v>
      </c>
      <c r="C7" s="102" t="s">
        <v>133</v>
      </c>
      <c r="D7" s="102"/>
      <c r="E7" s="3">
        <v>450</v>
      </c>
      <c r="F7" s="60"/>
      <c r="G7" s="2">
        <v>8</v>
      </c>
      <c r="H7" s="60"/>
      <c r="I7" s="2" t="s">
        <v>77</v>
      </c>
      <c r="J7" s="60"/>
      <c r="K7" s="2" t="s">
        <v>77</v>
      </c>
      <c r="L7" s="16">
        <f t="shared" ref="L7:L21" si="0">SUM(F7:K7)</f>
        <v>8</v>
      </c>
      <c r="M7" s="9">
        <f t="shared" ref="M7:M21" si="1">L7*E7</f>
        <v>3600</v>
      </c>
      <c r="N7" s="8" t="s">
        <v>168</v>
      </c>
      <c r="O7" s="45">
        <v>1300</v>
      </c>
      <c r="P7" s="45">
        <v>900</v>
      </c>
      <c r="Q7" s="1"/>
    </row>
    <row r="8" spans="2:21" x14ac:dyDescent="0.25">
      <c r="B8" s="59">
        <v>3</v>
      </c>
      <c r="C8" s="102" t="s">
        <v>134</v>
      </c>
      <c r="D8" s="102"/>
      <c r="E8" s="3">
        <v>2200</v>
      </c>
      <c r="F8" s="60"/>
      <c r="G8" s="2">
        <v>2</v>
      </c>
      <c r="H8" s="60"/>
      <c r="I8" s="2" t="s">
        <v>77</v>
      </c>
      <c r="J8" s="60"/>
      <c r="K8" s="2" t="s">
        <v>77</v>
      </c>
      <c r="L8" s="16">
        <f t="shared" si="0"/>
        <v>2</v>
      </c>
      <c r="M8" s="9">
        <f t="shared" si="1"/>
        <v>4400</v>
      </c>
      <c r="N8" s="8" t="s">
        <v>168</v>
      </c>
      <c r="O8" s="45">
        <v>7300</v>
      </c>
      <c r="P8" s="45">
        <v>3400</v>
      </c>
      <c r="Q8" s="45">
        <v>6500</v>
      </c>
    </row>
    <row r="9" spans="2:21" x14ac:dyDescent="0.25">
      <c r="B9" s="59">
        <v>4</v>
      </c>
      <c r="C9" s="102" t="s">
        <v>135</v>
      </c>
      <c r="D9" s="102"/>
      <c r="E9" s="3">
        <v>2230</v>
      </c>
      <c r="F9" s="60"/>
      <c r="G9" s="2">
        <v>2</v>
      </c>
      <c r="H9" s="60"/>
      <c r="I9" s="2" t="s">
        <v>77</v>
      </c>
      <c r="J9" s="60"/>
      <c r="K9" s="2" t="s">
        <v>77</v>
      </c>
      <c r="L9" s="16">
        <f t="shared" si="0"/>
        <v>2</v>
      </c>
      <c r="M9" s="9">
        <f t="shared" si="1"/>
        <v>4460</v>
      </c>
      <c r="N9" s="8" t="s">
        <v>168</v>
      </c>
      <c r="O9" t="s">
        <v>154</v>
      </c>
      <c r="P9" t="s">
        <v>155</v>
      </c>
      <c r="Q9" t="s">
        <v>157</v>
      </c>
    </row>
    <row r="10" spans="2:21" x14ac:dyDescent="0.25">
      <c r="B10" s="59">
        <v>5</v>
      </c>
      <c r="C10" s="102" t="s">
        <v>136</v>
      </c>
      <c r="D10" s="102"/>
      <c r="E10" s="3">
        <v>2800</v>
      </c>
      <c r="F10" s="60"/>
      <c r="G10" s="2">
        <v>4</v>
      </c>
      <c r="H10" s="60"/>
      <c r="I10" s="2" t="s">
        <v>77</v>
      </c>
      <c r="J10" s="60"/>
      <c r="K10" s="2" t="s">
        <v>77</v>
      </c>
      <c r="L10" s="16">
        <f t="shared" si="0"/>
        <v>4</v>
      </c>
      <c r="M10" s="9">
        <f t="shared" si="1"/>
        <v>11200</v>
      </c>
      <c r="N10" s="8" t="s">
        <v>168</v>
      </c>
      <c r="O10" s="105" t="s">
        <v>153</v>
      </c>
      <c r="P10" s="105"/>
    </row>
    <row r="11" spans="2:21" x14ac:dyDescent="0.25">
      <c r="B11" s="59">
        <v>6</v>
      </c>
      <c r="C11" s="102" t="s">
        <v>137</v>
      </c>
      <c r="D11" s="102"/>
      <c r="E11" s="3">
        <v>300</v>
      </c>
      <c r="F11" s="60"/>
      <c r="G11" s="2">
        <v>1</v>
      </c>
      <c r="H11" s="60"/>
      <c r="I11" s="2" t="s">
        <v>77</v>
      </c>
      <c r="J11" s="60"/>
      <c r="K11" s="2" t="s">
        <v>77</v>
      </c>
      <c r="L11" s="16">
        <f t="shared" si="0"/>
        <v>1</v>
      </c>
      <c r="M11" s="9">
        <f t="shared" si="1"/>
        <v>300</v>
      </c>
      <c r="N11" s="8" t="s">
        <v>169</v>
      </c>
    </row>
    <row r="12" spans="2:21" x14ac:dyDescent="0.25">
      <c r="B12" s="59">
        <v>7</v>
      </c>
      <c r="C12" s="102" t="s">
        <v>138</v>
      </c>
      <c r="D12" s="102"/>
      <c r="E12" s="3">
        <v>1500</v>
      </c>
      <c r="F12" s="60"/>
      <c r="G12" s="2">
        <v>1</v>
      </c>
      <c r="H12" s="60"/>
      <c r="I12" s="2" t="s">
        <v>77</v>
      </c>
      <c r="J12" s="60"/>
      <c r="K12" s="2" t="s">
        <v>77</v>
      </c>
      <c r="L12" s="16">
        <f t="shared" si="0"/>
        <v>1</v>
      </c>
      <c r="M12" s="9">
        <f t="shared" si="1"/>
        <v>1500</v>
      </c>
      <c r="N12" s="8" t="s">
        <v>168</v>
      </c>
    </row>
    <row r="13" spans="2:21" x14ac:dyDescent="0.25">
      <c r="B13" s="59">
        <v>8</v>
      </c>
      <c r="C13" s="102" t="s">
        <v>152</v>
      </c>
      <c r="D13" s="102"/>
      <c r="E13" s="3">
        <v>5000</v>
      </c>
      <c r="F13" s="60"/>
      <c r="G13" s="2" t="s">
        <v>77</v>
      </c>
      <c r="H13" s="60"/>
      <c r="I13" s="2" t="s">
        <v>77</v>
      </c>
      <c r="J13" s="60"/>
      <c r="K13" s="2">
        <v>1</v>
      </c>
      <c r="L13" s="16">
        <f t="shared" si="0"/>
        <v>1</v>
      </c>
      <c r="M13" s="9">
        <f t="shared" si="1"/>
        <v>5000</v>
      </c>
      <c r="N13" s="8" t="s">
        <v>168</v>
      </c>
    </row>
    <row r="14" spans="2:21" x14ac:dyDescent="0.25">
      <c r="B14" s="59">
        <v>9</v>
      </c>
      <c r="C14" s="102" t="s">
        <v>151</v>
      </c>
      <c r="D14" s="102"/>
      <c r="E14" s="3">
        <v>3500</v>
      </c>
      <c r="F14" s="60"/>
      <c r="G14" s="2" t="s">
        <v>77</v>
      </c>
      <c r="H14" s="60"/>
      <c r="I14" s="2">
        <v>1</v>
      </c>
      <c r="J14" s="60"/>
      <c r="K14" s="2" t="s">
        <v>77</v>
      </c>
      <c r="L14" s="16">
        <f t="shared" si="0"/>
        <v>1</v>
      </c>
      <c r="M14" s="9">
        <f t="shared" si="1"/>
        <v>3500</v>
      </c>
      <c r="N14" s="8" t="s">
        <v>168</v>
      </c>
    </row>
    <row r="15" spans="2:21" x14ac:dyDescent="0.25">
      <c r="B15" s="59">
        <v>10</v>
      </c>
      <c r="C15" s="102" t="s">
        <v>139</v>
      </c>
      <c r="D15" s="102"/>
      <c r="E15" s="3">
        <v>2000</v>
      </c>
      <c r="F15" s="60"/>
      <c r="G15" s="2" t="s">
        <v>77</v>
      </c>
      <c r="H15" s="60"/>
      <c r="I15" s="2">
        <v>1</v>
      </c>
      <c r="J15" s="60"/>
      <c r="K15" s="2" t="s">
        <v>77</v>
      </c>
      <c r="L15" s="16">
        <f t="shared" si="0"/>
        <v>1</v>
      </c>
      <c r="M15" s="9">
        <f t="shared" si="1"/>
        <v>2000</v>
      </c>
      <c r="N15" s="8" t="s">
        <v>168</v>
      </c>
    </row>
    <row r="16" spans="2:21" x14ac:dyDescent="0.25">
      <c r="B16" s="59">
        <v>11</v>
      </c>
      <c r="C16" s="102" t="s">
        <v>140</v>
      </c>
      <c r="D16" s="102"/>
      <c r="E16" s="3">
        <v>400</v>
      </c>
      <c r="F16" s="60"/>
      <c r="G16" s="2">
        <v>2</v>
      </c>
      <c r="H16" s="60"/>
      <c r="I16" s="2" t="s">
        <v>77</v>
      </c>
      <c r="J16" s="60"/>
      <c r="K16" s="2" t="s">
        <v>77</v>
      </c>
      <c r="L16" s="16">
        <f t="shared" si="0"/>
        <v>2</v>
      </c>
      <c r="M16" s="9">
        <f t="shared" si="1"/>
        <v>800</v>
      </c>
      <c r="N16" s="8" t="s">
        <v>169</v>
      </c>
    </row>
    <row r="17" spans="2:17" x14ac:dyDescent="0.25">
      <c r="B17" s="59">
        <v>12</v>
      </c>
      <c r="C17" s="102" t="s">
        <v>150</v>
      </c>
      <c r="D17" s="102"/>
      <c r="E17" s="3">
        <v>200</v>
      </c>
      <c r="F17" s="60"/>
      <c r="G17" s="2">
        <v>1</v>
      </c>
      <c r="H17" s="60"/>
      <c r="I17" s="2" t="s">
        <v>77</v>
      </c>
      <c r="J17" s="60"/>
      <c r="K17" s="2" t="s">
        <v>77</v>
      </c>
      <c r="L17" s="16">
        <f t="shared" si="0"/>
        <v>1</v>
      </c>
      <c r="M17" s="9">
        <f t="shared" si="1"/>
        <v>200</v>
      </c>
      <c r="N17" s="8" t="s">
        <v>169</v>
      </c>
    </row>
    <row r="18" spans="2:17" x14ac:dyDescent="0.25">
      <c r="B18" s="59">
        <v>13</v>
      </c>
      <c r="C18" s="102" t="s">
        <v>141</v>
      </c>
      <c r="D18" s="102"/>
      <c r="E18" s="3">
        <v>3000</v>
      </c>
      <c r="F18" s="60"/>
      <c r="G18" s="2">
        <v>2</v>
      </c>
      <c r="H18" s="60"/>
      <c r="I18" s="2">
        <v>2</v>
      </c>
      <c r="J18" s="60"/>
      <c r="K18" s="2">
        <v>1</v>
      </c>
      <c r="L18" s="16">
        <f t="shared" si="0"/>
        <v>5</v>
      </c>
      <c r="M18" s="9">
        <f t="shared" si="1"/>
        <v>15000</v>
      </c>
      <c r="N18" s="8" t="s">
        <v>168</v>
      </c>
    </row>
    <row r="19" spans="2:17" x14ac:dyDescent="0.25">
      <c r="B19" s="59">
        <v>14</v>
      </c>
      <c r="C19" s="102" t="s">
        <v>142</v>
      </c>
      <c r="D19" s="102"/>
      <c r="E19" s="3">
        <v>550</v>
      </c>
      <c r="F19" s="60"/>
      <c r="G19" s="2"/>
      <c r="H19" s="60"/>
      <c r="I19" s="2" t="s">
        <v>77</v>
      </c>
      <c r="J19" s="60"/>
      <c r="K19" s="2"/>
      <c r="L19" s="16">
        <v>20</v>
      </c>
      <c r="M19" s="9">
        <f t="shared" si="1"/>
        <v>11000</v>
      </c>
      <c r="N19" s="8" t="s">
        <v>169</v>
      </c>
    </row>
    <row r="20" spans="2:17" x14ac:dyDescent="0.25">
      <c r="B20" s="59">
        <v>15</v>
      </c>
      <c r="C20" s="102" t="s">
        <v>143</v>
      </c>
      <c r="D20" s="102"/>
      <c r="E20" s="3">
        <v>1300</v>
      </c>
      <c r="F20" s="60"/>
      <c r="G20" s="2">
        <v>1</v>
      </c>
      <c r="H20" s="60"/>
      <c r="I20" s="2"/>
      <c r="J20" s="60"/>
      <c r="K20" s="2"/>
      <c r="L20" s="16">
        <f t="shared" si="0"/>
        <v>1</v>
      </c>
      <c r="M20" s="9">
        <f t="shared" si="1"/>
        <v>1300</v>
      </c>
      <c r="N20" s="8" t="s">
        <v>170</v>
      </c>
    </row>
    <row r="21" spans="2:17" x14ac:dyDescent="0.25">
      <c r="B21" s="71">
        <v>16</v>
      </c>
      <c r="C21" s="120" t="s">
        <v>167</v>
      </c>
      <c r="D21" s="122"/>
      <c r="E21" s="21">
        <v>600</v>
      </c>
      <c r="F21" s="60"/>
      <c r="G21" s="2">
        <v>1</v>
      </c>
      <c r="H21" s="2"/>
      <c r="I21" s="2"/>
      <c r="J21" s="2"/>
      <c r="K21" s="2"/>
      <c r="L21" s="8">
        <f t="shared" si="0"/>
        <v>1</v>
      </c>
      <c r="M21" s="9">
        <f t="shared" si="1"/>
        <v>600</v>
      </c>
      <c r="N21" s="8" t="s">
        <v>193</v>
      </c>
    </row>
    <row r="22" spans="2:17" x14ac:dyDescent="0.25">
      <c r="M22">
        <v>1</v>
      </c>
      <c r="N22" s="134" t="s">
        <v>166</v>
      </c>
      <c r="O22" s="119"/>
      <c r="P22" s="62">
        <f>SUM(P23:P25)</f>
        <v>82926</v>
      </c>
      <c r="Q22" s="56"/>
    </row>
    <row r="23" spans="2:17" x14ac:dyDescent="0.25">
      <c r="N23" s="119" t="s">
        <v>222</v>
      </c>
      <c r="O23" s="119"/>
      <c r="P23" s="39">
        <f>SUM(M6:M21)</f>
        <v>73860</v>
      </c>
      <c r="Q23" s="56"/>
    </row>
    <row r="24" spans="2:17" x14ac:dyDescent="0.25">
      <c r="N24" s="130" t="s">
        <v>223</v>
      </c>
      <c r="O24" s="103"/>
      <c r="P24" s="39">
        <f>(M6+M7+M8+M9+M10+M12+M13+M14+M15+M18)*0.05+M21</f>
        <v>3583</v>
      </c>
      <c r="Q24" s="57" t="s">
        <v>172</v>
      </c>
    </row>
    <row r="25" spans="2:17" x14ac:dyDescent="0.25">
      <c r="N25" s="130" t="s">
        <v>171</v>
      </c>
      <c r="O25" s="103"/>
      <c r="P25" s="10">
        <f>M17+M16+M11+P24+M21</f>
        <v>5483</v>
      </c>
      <c r="Q25" s="46" t="s">
        <v>173</v>
      </c>
    </row>
    <row r="26" spans="2:17" x14ac:dyDescent="0.25">
      <c r="C26" s="105" t="s">
        <v>129</v>
      </c>
      <c r="D26" s="105"/>
      <c r="E26" s="105"/>
      <c r="F26" s="131"/>
      <c r="G26" s="131"/>
      <c r="H26" s="131"/>
    </row>
    <row r="27" spans="2:17" x14ac:dyDescent="0.25">
      <c r="C27" s="1"/>
      <c r="D27" s="1"/>
      <c r="E27" s="1">
        <v>2</v>
      </c>
      <c r="F27" s="112" t="s">
        <v>131</v>
      </c>
      <c r="G27" s="113"/>
      <c r="H27" s="113"/>
      <c r="I27" s="113"/>
      <c r="J27" s="114"/>
      <c r="K27" s="1" t="s">
        <v>158</v>
      </c>
      <c r="L27" s="1" t="s">
        <v>159</v>
      </c>
      <c r="M27" s="1" t="s">
        <v>156</v>
      </c>
      <c r="N27" s="1" t="s">
        <v>160</v>
      </c>
      <c r="O27" s="132" t="s">
        <v>160</v>
      </c>
      <c r="P27" s="132"/>
      <c r="Q27" s="1" t="s">
        <v>164</v>
      </c>
    </row>
    <row r="28" spans="2:17" x14ac:dyDescent="0.25">
      <c r="C28" s="105" t="s">
        <v>126</v>
      </c>
      <c r="D28" s="105"/>
      <c r="E28" s="2" t="s">
        <v>18</v>
      </c>
      <c r="F28" s="60" t="s">
        <v>185</v>
      </c>
      <c r="G28" s="2" t="s">
        <v>2</v>
      </c>
      <c r="H28" s="61" t="s">
        <v>144</v>
      </c>
      <c r="I28" s="8" t="s">
        <v>149</v>
      </c>
      <c r="J28" s="31" t="s">
        <v>148</v>
      </c>
      <c r="K28" s="1"/>
      <c r="L28" s="1" t="s">
        <v>163</v>
      </c>
      <c r="M28" s="1"/>
      <c r="N28" s="1" t="s">
        <v>161</v>
      </c>
      <c r="O28" s="133" t="s">
        <v>162</v>
      </c>
      <c r="P28" s="133"/>
      <c r="Q28" t="s">
        <v>165</v>
      </c>
    </row>
    <row r="29" spans="2:17" x14ac:dyDescent="0.25">
      <c r="B29" s="59">
        <v>1</v>
      </c>
      <c r="C29" s="102" t="s">
        <v>132</v>
      </c>
      <c r="D29" s="102"/>
      <c r="E29" s="41">
        <v>1000</v>
      </c>
      <c r="F29" s="60"/>
      <c r="G29" s="2">
        <v>1</v>
      </c>
      <c r="H29" s="16">
        <f t="shared" ref="H29:H43" si="2">SUM(F29:G29)</f>
        <v>1</v>
      </c>
      <c r="I29" s="9">
        <f t="shared" ref="I29:I44" si="3">H29*E29</f>
        <v>1000</v>
      </c>
      <c r="J29" s="8" t="s">
        <v>168</v>
      </c>
      <c r="K29" s="1"/>
      <c r="L29" s="1"/>
      <c r="M29" s="1"/>
    </row>
    <row r="30" spans="2:17" x14ac:dyDescent="0.25">
      <c r="B30" s="59">
        <v>2</v>
      </c>
      <c r="C30" s="102" t="s">
        <v>133</v>
      </c>
      <c r="D30" s="102"/>
      <c r="E30" s="41">
        <v>450</v>
      </c>
      <c r="F30" s="60"/>
      <c r="G30" s="2">
        <v>1</v>
      </c>
      <c r="H30" s="16">
        <f t="shared" si="2"/>
        <v>1</v>
      </c>
      <c r="I30" s="9">
        <f t="shared" si="3"/>
        <v>450</v>
      </c>
      <c r="J30" s="8" t="s">
        <v>168</v>
      </c>
      <c r="K30" s="45">
        <v>1300</v>
      </c>
      <c r="L30" s="45">
        <v>900</v>
      </c>
      <c r="M30" s="1"/>
    </row>
    <row r="31" spans="2:17" x14ac:dyDescent="0.25">
      <c r="B31" s="59">
        <v>3</v>
      </c>
      <c r="C31" s="102" t="s">
        <v>134</v>
      </c>
      <c r="D31" s="102"/>
      <c r="E31" s="41">
        <v>2200</v>
      </c>
      <c r="F31" s="60"/>
      <c r="G31" s="2" t="s">
        <v>77</v>
      </c>
      <c r="H31" s="16">
        <f t="shared" si="2"/>
        <v>0</v>
      </c>
      <c r="I31" s="9">
        <f t="shared" si="3"/>
        <v>0</v>
      </c>
      <c r="J31" s="8" t="s">
        <v>168</v>
      </c>
      <c r="K31" s="45">
        <v>7300</v>
      </c>
      <c r="L31" s="45">
        <v>3400</v>
      </c>
      <c r="M31" s="45">
        <v>6500</v>
      </c>
    </row>
    <row r="32" spans="2:17" x14ac:dyDescent="0.25">
      <c r="B32" s="59">
        <v>4</v>
      </c>
      <c r="C32" s="102" t="s">
        <v>135</v>
      </c>
      <c r="D32" s="102"/>
      <c r="E32" s="41">
        <v>2230</v>
      </c>
      <c r="F32" s="60"/>
      <c r="G32" s="2" t="s">
        <v>77</v>
      </c>
      <c r="H32" s="16">
        <f t="shared" si="2"/>
        <v>0</v>
      </c>
      <c r="I32" s="9">
        <f t="shared" si="3"/>
        <v>0</v>
      </c>
      <c r="J32" s="8" t="s">
        <v>168</v>
      </c>
      <c r="K32" t="s">
        <v>154</v>
      </c>
      <c r="L32" t="s">
        <v>155</v>
      </c>
      <c r="M32" t="s">
        <v>157</v>
      </c>
    </row>
    <row r="33" spans="2:13" x14ac:dyDescent="0.25">
      <c r="B33" s="59">
        <v>5</v>
      </c>
      <c r="C33" s="102" t="s">
        <v>136</v>
      </c>
      <c r="D33" s="102"/>
      <c r="E33" s="41">
        <v>2800</v>
      </c>
      <c r="F33" s="60"/>
      <c r="G33" s="2">
        <v>1</v>
      </c>
      <c r="H33" s="16">
        <f t="shared" si="2"/>
        <v>1</v>
      </c>
      <c r="I33" s="9">
        <f t="shared" si="3"/>
        <v>2800</v>
      </c>
      <c r="J33" s="8" t="s">
        <v>168</v>
      </c>
      <c r="K33" s="105" t="s">
        <v>153</v>
      </c>
      <c r="L33" s="105"/>
    </row>
    <row r="34" spans="2:13" x14ac:dyDescent="0.25">
      <c r="B34" s="59">
        <v>6</v>
      </c>
      <c r="C34" s="102" t="s">
        <v>137</v>
      </c>
      <c r="D34" s="102"/>
      <c r="E34" s="41">
        <v>300</v>
      </c>
      <c r="F34" s="60"/>
      <c r="G34" s="2">
        <v>1</v>
      </c>
      <c r="H34" s="16">
        <f t="shared" si="2"/>
        <v>1</v>
      </c>
      <c r="I34" s="9">
        <f t="shared" si="3"/>
        <v>300</v>
      </c>
      <c r="J34" s="8" t="s">
        <v>169</v>
      </c>
    </row>
    <row r="35" spans="2:13" x14ac:dyDescent="0.25">
      <c r="B35" s="59">
        <v>7</v>
      </c>
      <c r="C35" s="102" t="s">
        <v>138</v>
      </c>
      <c r="D35" s="102"/>
      <c r="E35" s="41">
        <v>1500</v>
      </c>
      <c r="F35" s="60"/>
      <c r="G35" s="2" t="s">
        <v>77</v>
      </c>
      <c r="H35" s="16">
        <f t="shared" si="2"/>
        <v>0</v>
      </c>
      <c r="I35" s="9">
        <f t="shared" si="3"/>
        <v>0</v>
      </c>
      <c r="J35" s="8" t="s">
        <v>168</v>
      </c>
    </row>
    <row r="36" spans="2:13" x14ac:dyDescent="0.25">
      <c r="B36" s="59">
        <v>8</v>
      </c>
      <c r="C36" s="102" t="s">
        <v>152</v>
      </c>
      <c r="D36" s="102"/>
      <c r="E36" s="41">
        <v>5000</v>
      </c>
      <c r="F36" s="60"/>
      <c r="G36" s="2" t="s">
        <v>77</v>
      </c>
      <c r="H36" s="16">
        <f t="shared" si="2"/>
        <v>0</v>
      </c>
      <c r="I36" s="9">
        <f t="shared" si="3"/>
        <v>0</v>
      </c>
      <c r="J36" s="8" t="s">
        <v>168</v>
      </c>
    </row>
    <row r="37" spans="2:13" x14ac:dyDescent="0.25">
      <c r="B37" s="59">
        <v>9</v>
      </c>
      <c r="C37" s="102" t="s">
        <v>151</v>
      </c>
      <c r="D37" s="102"/>
      <c r="E37" s="41">
        <v>3500</v>
      </c>
      <c r="F37" s="60"/>
      <c r="G37" s="2" t="s">
        <v>77</v>
      </c>
      <c r="H37" s="16">
        <f t="shared" si="2"/>
        <v>0</v>
      </c>
      <c r="I37" s="9">
        <f t="shared" si="3"/>
        <v>0</v>
      </c>
      <c r="J37" s="8" t="s">
        <v>168</v>
      </c>
    </row>
    <row r="38" spans="2:13" x14ac:dyDescent="0.25">
      <c r="B38" s="59">
        <v>10</v>
      </c>
      <c r="C38" s="102" t="s">
        <v>139</v>
      </c>
      <c r="D38" s="102"/>
      <c r="E38" s="41">
        <v>2000</v>
      </c>
      <c r="F38" s="60"/>
      <c r="G38" s="2" t="s">
        <v>77</v>
      </c>
      <c r="H38" s="16">
        <f t="shared" si="2"/>
        <v>0</v>
      </c>
      <c r="I38" s="9">
        <f t="shared" si="3"/>
        <v>0</v>
      </c>
      <c r="J38" s="8" t="s">
        <v>168</v>
      </c>
    </row>
    <row r="39" spans="2:13" x14ac:dyDescent="0.25">
      <c r="B39" s="59">
        <v>11</v>
      </c>
      <c r="C39" s="102" t="s">
        <v>140</v>
      </c>
      <c r="D39" s="102"/>
      <c r="E39" s="41">
        <v>400</v>
      </c>
      <c r="F39" s="60"/>
      <c r="G39" s="2">
        <v>1</v>
      </c>
      <c r="H39" s="16">
        <f t="shared" si="2"/>
        <v>1</v>
      </c>
      <c r="I39" s="9">
        <f t="shared" si="3"/>
        <v>400</v>
      </c>
      <c r="J39" s="8" t="s">
        <v>169</v>
      </c>
    </row>
    <row r="40" spans="2:13" x14ac:dyDescent="0.25">
      <c r="B40" s="59">
        <v>12</v>
      </c>
      <c r="C40" s="102" t="s">
        <v>150</v>
      </c>
      <c r="D40" s="102"/>
      <c r="E40" s="41">
        <v>200</v>
      </c>
      <c r="F40" s="60"/>
      <c r="G40" s="2">
        <v>1</v>
      </c>
      <c r="H40" s="16">
        <f t="shared" si="2"/>
        <v>1</v>
      </c>
      <c r="I40" s="9">
        <f t="shared" si="3"/>
        <v>200</v>
      </c>
      <c r="J40" s="8" t="s">
        <v>169</v>
      </c>
    </row>
    <row r="41" spans="2:13" x14ac:dyDescent="0.25">
      <c r="B41" s="59">
        <v>13</v>
      </c>
      <c r="C41" s="102" t="s">
        <v>141</v>
      </c>
      <c r="D41" s="102"/>
      <c r="E41" s="41">
        <v>3000</v>
      </c>
      <c r="F41" s="60"/>
      <c r="G41" s="2">
        <v>1</v>
      </c>
      <c r="H41" s="16">
        <f t="shared" si="2"/>
        <v>1</v>
      </c>
      <c r="I41" s="9">
        <f t="shared" si="3"/>
        <v>3000</v>
      </c>
      <c r="J41" s="8" t="s">
        <v>168</v>
      </c>
    </row>
    <row r="42" spans="2:13" x14ac:dyDescent="0.25">
      <c r="B42" s="59">
        <v>14</v>
      </c>
      <c r="C42" s="102" t="s">
        <v>142</v>
      </c>
      <c r="D42" s="102"/>
      <c r="E42" s="41">
        <v>550</v>
      </c>
      <c r="F42" s="60"/>
      <c r="G42" s="2"/>
      <c r="H42" s="16">
        <f t="shared" si="2"/>
        <v>0</v>
      </c>
      <c r="I42" s="9">
        <f t="shared" si="3"/>
        <v>0</v>
      </c>
      <c r="J42" s="8" t="s">
        <v>169</v>
      </c>
    </row>
    <row r="43" spans="2:13" x14ac:dyDescent="0.25">
      <c r="B43" s="59">
        <v>15</v>
      </c>
      <c r="C43" s="102" t="s">
        <v>143</v>
      </c>
      <c r="D43" s="102"/>
      <c r="E43" s="41">
        <v>1300</v>
      </c>
      <c r="F43" s="60"/>
      <c r="G43" s="2">
        <v>1</v>
      </c>
      <c r="H43" s="16">
        <f t="shared" si="2"/>
        <v>1</v>
      </c>
      <c r="I43" s="9">
        <f t="shared" si="3"/>
        <v>1300</v>
      </c>
      <c r="J43" s="8" t="s">
        <v>170</v>
      </c>
    </row>
    <row r="44" spans="2:13" x14ac:dyDescent="0.25">
      <c r="B44" s="71">
        <v>16</v>
      </c>
      <c r="C44" s="120" t="s">
        <v>167</v>
      </c>
      <c r="D44" s="122"/>
      <c r="E44" s="21">
        <v>600</v>
      </c>
      <c r="F44" s="60"/>
      <c r="G44" s="2">
        <v>1</v>
      </c>
      <c r="H44" s="80">
        <f>G44</f>
        <v>1</v>
      </c>
      <c r="I44" s="9">
        <f t="shared" si="3"/>
        <v>600</v>
      </c>
      <c r="J44" s="8" t="s">
        <v>193</v>
      </c>
    </row>
    <row r="45" spans="2:13" x14ac:dyDescent="0.25">
      <c r="I45">
        <v>2</v>
      </c>
      <c r="J45" s="119" t="s">
        <v>178</v>
      </c>
      <c r="K45" s="119"/>
      <c r="L45" s="39">
        <f>SUM(L46:L48)</f>
        <v>12875</v>
      </c>
      <c r="M45" s="8"/>
    </row>
    <row r="46" spans="2:13" x14ac:dyDescent="0.25">
      <c r="J46" s="119" t="s">
        <v>222</v>
      </c>
      <c r="K46" s="119"/>
      <c r="L46" s="39">
        <f>SUM(I29:I44)</f>
        <v>10050</v>
      </c>
      <c r="M46" s="8"/>
    </row>
    <row r="47" spans="2:13" x14ac:dyDescent="0.25">
      <c r="J47" s="130" t="s">
        <v>223</v>
      </c>
      <c r="K47" s="103"/>
      <c r="L47" s="64">
        <f>(I29+I30+I31+I32+I33+I35+I36+I37+I38+I41)*0.05+I44</f>
        <v>962.5</v>
      </c>
      <c r="M47" s="57" t="s">
        <v>172</v>
      </c>
    </row>
    <row r="48" spans="2:13" x14ac:dyDescent="0.25">
      <c r="J48" s="130" t="s">
        <v>171</v>
      </c>
      <c r="K48" s="103"/>
      <c r="L48" s="10">
        <f>I42+I40+I39+I34+L47</f>
        <v>1862.5</v>
      </c>
      <c r="M48" s="18" t="s">
        <v>173</v>
      </c>
    </row>
    <row r="49" spans="2:17" x14ac:dyDescent="0.25">
      <c r="C49" s="105" t="s">
        <v>129</v>
      </c>
      <c r="D49" s="105"/>
      <c r="E49" s="105"/>
      <c r="F49" s="131"/>
      <c r="G49" s="131"/>
      <c r="H49" s="131"/>
    </row>
    <row r="50" spans="2:17" x14ac:dyDescent="0.25">
      <c r="C50" s="1"/>
      <c r="D50" s="1"/>
      <c r="E50" s="1">
        <v>3</v>
      </c>
      <c r="F50" s="112" t="s">
        <v>174</v>
      </c>
      <c r="G50" s="113"/>
      <c r="H50" s="113"/>
      <c r="I50" s="113"/>
      <c r="J50" s="114"/>
      <c r="K50" s="1" t="s">
        <v>158</v>
      </c>
      <c r="L50" s="1" t="s">
        <v>159</v>
      </c>
      <c r="M50" s="1" t="s">
        <v>156</v>
      </c>
      <c r="N50" s="1" t="s">
        <v>160</v>
      </c>
      <c r="O50" s="132" t="s">
        <v>160</v>
      </c>
      <c r="P50" s="132"/>
      <c r="Q50" s="1" t="s">
        <v>164</v>
      </c>
    </row>
    <row r="51" spans="2:17" x14ac:dyDescent="0.25">
      <c r="C51" s="105" t="s">
        <v>126</v>
      </c>
      <c r="D51" s="105"/>
      <c r="E51" s="2" t="s">
        <v>18</v>
      </c>
      <c r="F51" s="60" t="s">
        <v>185</v>
      </c>
      <c r="G51" s="2" t="s">
        <v>2</v>
      </c>
      <c r="H51" s="61" t="s">
        <v>144</v>
      </c>
      <c r="I51" s="8" t="s">
        <v>149</v>
      </c>
      <c r="J51" s="31" t="s">
        <v>148</v>
      </c>
      <c r="K51" s="1"/>
      <c r="L51" s="1" t="s">
        <v>163</v>
      </c>
      <c r="M51" s="1"/>
      <c r="N51" s="1" t="s">
        <v>161</v>
      </c>
      <c r="O51" s="133" t="s">
        <v>162</v>
      </c>
      <c r="P51" s="133"/>
      <c r="Q51" t="s">
        <v>165</v>
      </c>
    </row>
    <row r="52" spans="2:17" x14ac:dyDescent="0.25">
      <c r="B52" s="59">
        <v>1</v>
      </c>
      <c r="C52" s="102" t="s">
        <v>132</v>
      </c>
      <c r="D52" s="102"/>
      <c r="E52" s="41">
        <v>1000</v>
      </c>
      <c r="F52" s="60"/>
      <c r="G52" s="2">
        <v>1</v>
      </c>
      <c r="H52" s="16">
        <f t="shared" ref="H52:H66" si="4">SUM(F52:G52)</f>
        <v>1</v>
      </c>
      <c r="I52" s="9">
        <f t="shared" ref="I52:I67" si="5">H52*E52</f>
        <v>1000</v>
      </c>
      <c r="J52" s="8" t="s">
        <v>168</v>
      </c>
      <c r="K52" s="1"/>
      <c r="L52" s="1"/>
      <c r="M52" s="1"/>
    </row>
    <row r="53" spans="2:17" x14ac:dyDescent="0.25">
      <c r="B53" s="59">
        <v>2</v>
      </c>
      <c r="C53" s="102" t="s">
        <v>133</v>
      </c>
      <c r="D53" s="102"/>
      <c r="E53" s="41">
        <v>900</v>
      </c>
      <c r="F53" s="60"/>
      <c r="G53" s="2">
        <v>1</v>
      </c>
      <c r="H53" s="16">
        <f t="shared" si="4"/>
        <v>1</v>
      </c>
      <c r="I53" s="9">
        <f t="shared" si="5"/>
        <v>900</v>
      </c>
      <c r="J53" s="8" t="s">
        <v>168</v>
      </c>
      <c r="K53" s="45">
        <v>1300</v>
      </c>
      <c r="L53" s="45">
        <v>900</v>
      </c>
      <c r="M53" s="1"/>
    </row>
    <row r="54" spans="2:17" x14ac:dyDescent="0.25">
      <c r="B54" s="59">
        <v>3</v>
      </c>
      <c r="C54" s="102" t="s">
        <v>134</v>
      </c>
      <c r="D54" s="102"/>
      <c r="E54" s="41">
        <v>2200</v>
      </c>
      <c r="F54" s="60"/>
      <c r="G54" s="2" t="s">
        <v>77</v>
      </c>
      <c r="H54" s="16">
        <f t="shared" si="4"/>
        <v>0</v>
      </c>
      <c r="I54" s="9">
        <f t="shared" si="5"/>
        <v>0</v>
      </c>
      <c r="J54" s="8" t="s">
        <v>168</v>
      </c>
      <c r="K54" s="45">
        <v>7300</v>
      </c>
      <c r="L54" s="45">
        <v>3400</v>
      </c>
      <c r="M54" s="45">
        <v>6500</v>
      </c>
    </row>
    <row r="55" spans="2:17" x14ac:dyDescent="0.25">
      <c r="B55" s="59">
        <v>4</v>
      </c>
      <c r="C55" s="102" t="s">
        <v>135</v>
      </c>
      <c r="D55" s="102"/>
      <c r="E55" s="41">
        <v>2230</v>
      </c>
      <c r="F55" s="60"/>
      <c r="G55" s="2" t="s">
        <v>77</v>
      </c>
      <c r="H55" s="16">
        <f t="shared" si="4"/>
        <v>0</v>
      </c>
      <c r="I55" s="9">
        <f t="shared" si="5"/>
        <v>0</v>
      </c>
      <c r="J55" s="8" t="s">
        <v>168</v>
      </c>
      <c r="K55" t="s">
        <v>154</v>
      </c>
      <c r="L55" t="s">
        <v>155</v>
      </c>
      <c r="M55" t="s">
        <v>157</v>
      </c>
    </row>
    <row r="56" spans="2:17" x14ac:dyDescent="0.25">
      <c r="B56" s="59">
        <v>5</v>
      </c>
      <c r="C56" s="102" t="s">
        <v>136</v>
      </c>
      <c r="D56" s="102"/>
      <c r="E56" s="41">
        <v>2800</v>
      </c>
      <c r="F56" s="60"/>
      <c r="G56" s="2">
        <v>1</v>
      </c>
      <c r="H56" s="16">
        <f t="shared" si="4"/>
        <v>1</v>
      </c>
      <c r="I56" s="9">
        <f t="shared" si="5"/>
        <v>2800</v>
      </c>
      <c r="J56" s="8" t="s">
        <v>168</v>
      </c>
      <c r="K56" s="105" t="s">
        <v>153</v>
      </c>
      <c r="L56" s="105"/>
    </row>
    <row r="57" spans="2:17" x14ac:dyDescent="0.25">
      <c r="B57" s="59">
        <v>6</v>
      </c>
      <c r="C57" s="102" t="s">
        <v>137</v>
      </c>
      <c r="D57" s="102"/>
      <c r="E57" s="41">
        <v>300</v>
      </c>
      <c r="F57" s="60"/>
      <c r="G57" s="2">
        <v>1</v>
      </c>
      <c r="H57" s="16">
        <f t="shared" si="4"/>
        <v>1</v>
      </c>
      <c r="I57" s="9">
        <f t="shared" si="5"/>
        <v>300</v>
      </c>
      <c r="J57" s="8" t="s">
        <v>169</v>
      </c>
    </row>
    <row r="58" spans="2:17" x14ac:dyDescent="0.25">
      <c r="B58" s="59">
        <v>7</v>
      </c>
      <c r="C58" s="102" t="s">
        <v>138</v>
      </c>
      <c r="D58" s="102"/>
      <c r="E58" s="41">
        <v>1500</v>
      </c>
      <c r="F58" s="60"/>
      <c r="G58" s="2" t="s">
        <v>77</v>
      </c>
      <c r="H58" s="16">
        <f t="shared" si="4"/>
        <v>0</v>
      </c>
      <c r="I58" s="9">
        <f t="shared" si="5"/>
        <v>0</v>
      </c>
      <c r="J58" s="8" t="s">
        <v>168</v>
      </c>
    </row>
    <row r="59" spans="2:17" x14ac:dyDescent="0.25">
      <c r="B59" s="59">
        <v>8</v>
      </c>
      <c r="C59" s="102" t="s">
        <v>152</v>
      </c>
      <c r="D59" s="102"/>
      <c r="E59" s="41">
        <v>5000</v>
      </c>
      <c r="F59" s="60"/>
      <c r="G59" s="2" t="s">
        <v>77</v>
      </c>
      <c r="H59" s="16">
        <f t="shared" si="4"/>
        <v>0</v>
      </c>
      <c r="I59" s="9">
        <f t="shared" si="5"/>
        <v>0</v>
      </c>
      <c r="J59" s="8" t="s">
        <v>168</v>
      </c>
    </row>
    <row r="60" spans="2:17" x14ac:dyDescent="0.25">
      <c r="B60" s="59">
        <v>9</v>
      </c>
      <c r="C60" s="102" t="s">
        <v>151</v>
      </c>
      <c r="D60" s="102"/>
      <c r="E60" s="41">
        <v>3500</v>
      </c>
      <c r="F60" s="60"/>
      <c r="G60" s="2" t="s">
        <v>77</v>
      </c>
      <c r="H60" s="16">
        <f t="shared" si="4"/>
        <v>0</v>
      </c>
      <c r="I60" s="9">
        <f t="shared" si="5"/>
        <v>0</v>
      </c>
      <c r="J60" s="8" t="s">
        <v>168</v>
      </c>
    </row>
    <row r="61" spans="2:17" x14ac:dyDescent="0.25">
      <c r="B61" s="59">
        <v>10</v>
      </c>
      <c r="C61" s="102" t="s">
        <v>139</v>
      </c>
      <c r="D61" s="102"/>
      <c r="E61" s="41">
        <v>2000</v>
      </c>
      <c r="F61" s="60"/>
      <c r="G61" s="2" t="s">
        <v>77</v>
      </c>
      <c r="H61" s="16">
        <f t="shared" si="4"/>
        <v>0</v>
      </c>
      <c r="I61" s="9">
        <f t="shared" si="5"/>
        <v>0</v>
      </c>
      <c r="J61" s="8" t="s">
        <v>168</v>
      </c>
    </row>
    <row r="62" spans="2:17" x14ac:dyDescent="0.25">
      <c r="B62" s="59">
        <v>11</v>
      </c>
      <c r="C62" s="102" t="s">
        <v>140</v>
      </c>
      <c r="D62" s="102"/>
      <c r="E62" s="41">
        <v>400</v>
      </c>
      <c r="F62" s="60"/>
      <c r="G62" s="2">
        <v>1</v>
      </c>
      <c r="H62" s="16">
        <f t="shared" si="4"/>
        <v>1</v>
      </c>
      <c r="I62" s="9">
        <f t="shared" si="5"/>
        <v>400</v>
      </c>
      <c r="J62" s="8" t="s">
        <v>169</v>
      </c>
    </row>
    <row r="63" spans="2:17" x14ac:dyDescent="0.25">
      <c r="B63" s="59">
        <v>12</v>
      </c>
      <c r="C63" s="102" t="s">
        <v>150</v>
      </c>
      <c r="D63" s="102"/>
      <c r="E63" s="41">
        <v>200</v>
      </c>
      <c r="F63" s="60"/>
      <c r="G63" s="2">
        <v>1</v>
      </c>
      <c r="H63" s="16">
        <f t="shared" si="4"/>
        <v>1</v>
      </c>
      <c r="I63" s="9">
        <f t="shared" si="5"/>
        <v>200</v>
      </c>
      <c r="J63" s="8" t="s">
        <v>169</v>
      </c>
    </row>
    <row r="64" spans="2:17" x14ac:dyDescent="0.25">
      <c r="B64" s="59">
        <v>13</v>
      </c>
      <c r="C64" s="102" t="s">
        <v>141</v>
      </c>
      <c r="D64" s="102"/>
      <c r="E64" s="41">
        <v>3000</v>
      </c>
      <c r="F64" s="60"/>
      <c r="G64" s="2">
        <v>1</v>
      </c>
      <c r="H64" s="16">
        <f t="shared" si="4"/>
        <v>1</v>
      </c>
      <c r="I64" s="9">
        <f t="shared" si="5"/>
        <v>3000</v>
      </c>
      <c r="J64" s="8" t="s">
        <v>168</v>
      </c>
    </row>
    <row r="65" spans="2:13" x14ac:dyDescent="0.25">
      <c r="B65" s="59">
        <v>14</v>
      </c>
      <c r="C65" s="102" t="s">
        <v>142</v>
      </c>
      <c r="D65" s="102"/>
      <c r="E65" s="41">
        <v>1000</v>
      </c>
      <c r="F65" s="60"/>
      <c r="G65" s="2"/>
      <c r="H65" s="16">
        <f t="shared" si="4"/>
        <v>0</v>
      </c>
      <c r="I65" s="9">
        <f t="shared" si="5"/>
        <v>0</v>
      </c>
      <c r="J65" s="8" t="s">
        <v>169</v>
      </c>
    </row>
    <row r="66" spans="2:13" x14ac:dyDescent="0.25">
      <c r="B66" s="59">
        <v>15</v>
      </c>
      <c r="C66" s="102" t="s">
        <v>143</v>
      </c>
      <c r="D66" s="102"/>
      <c r="E66" s="41">
        <v>1300</v>
      </c>
      <c r="F66" s="60"/>
      <c r="G66" s="2">
        <v>1</v>
      </c>
      <c r="H66" s="16">
        <f t="shared" si="4"/>
        <v>1</v>
      </c>
      <c r="I66" s="9">
        <f t="shared" si="5"/>
        <v>1300</v>
      </c>
      <c r="J66" s="8" t="s">
        <v>170</v>
      </c>
    </row>
    <row r="67" spans="2:13" x14ac:dyDescent="0.25">
      <c r="B67" s="71">
        <v>16</v>
      </c>
      <c r="C67" s="120" t="s">
        <v>167</v>
      </c>
      <c r="D67" s="122"/>
      <c r="E67" s="21">
        <v>600</v>
      </c>
      <c r="F67" s="60"/>
      <c r="G67" s="2">
        <v>1</v>
      </c>
      <c r="H67" s="80">
        <f>G67</f>
        <v>1</v>
      </c>
      <c r="I67" s="9">
        <f t="shared" si="5"/>
        <v>600</v>
      </c>
      <c r="J67" s="8" t="s">
        <v>193</v>
      </c>
    </row>
    <row r="68" spans="2:13" x14ac:dyDescent="0.25">
      <c r="I68">
        <v>3</v>
      </c>
      <c r="J68" s="119" t="s">
        <v>177</v>
      </c>
      <c r="K68" s="119"/>
      <c r="L68" s="39">
        <f>SUM(L69:L71)</f>
        <v>13370</v>
      </c>
      <c r="M68" s="8"/>
    </row>
    <row r="69" spans="2:13" x14ac:dyDescent="0.25">
      <c r="J69" s="119" t="s">
        <v>222</v>
      </c>
      <c r="K69" s="119"/>
      <c r="L69" s="39">
        <f>SUM(I52:I67)</f>
        <v>10500</v>
      </c>
      <c r="M69" s="39"/>
    </row>
    <row r="70" spans="2:13" x14ac:dyDescent="0.25">
      <c r="J70" s="130" t="s">
        <v>223</v>
      </c>
      <c r="K70" s="103"/>
      <c r="L70" s="64">
        <f>(I52+I53+I54+I55+I56+I58+I59+I60+I61+I64)*0.05+I67</f>
        <v>985</v>
      </c>
      <c r="M70" s="57" t="s">
        <v>172</v>
      </c>
    </row>
    <row r="71" spans="2:13" x14ac:dyDescent="0.25">
      <c r="J71" s="130" t="s">
        <v>171</v>
      </c>
      <c r="K71" s="103"/>
      <c r="L71" s="10">
        <f>I65+I63+I62+I57+L70</f>
        <v>1885</v>
      </c>
      <c r="M71" s="18" t="s">
        <v>173</v>
      </c>
    </row>
    <row r="74" spans="2:13" x14ac:dyDescent="0.25">
      <c r="C74" s="105" t="s">
        <v>175</v>
      </c>
      <c r="D74" s="105"/>
      <c r="E74" s="105"/>
    </row>
    <row r="75" spans="2:13" x14ac:dyDescent="0.25">
      <c r="C75" s="59" t="s">
        <v>176</v>
      </c>
      <c r="D75" s="105" t="s">
        <v>2</v>
      </c>
      <c r="E75" s="105"/>
    </row>
    <row r="76" spans="2:13" x14ac:dyDescent="0.25">
      <c r="C76" s="59">
        <v>1</v>
      </c>
      <c r="D76" s="104">
        <f>L46+L69+P23</f>
        <v>94410</v>
      </c>
      <c r="E76" s="104"/>
    </row>
    <row r="77" spans="2:13" x14ac:dyDescent="0.25">
      <c r="C77" s="59">
        <v>2</v>
      </c>
      <c r="D77" s="104">
        <f>$L$47+$P$24+$L$70</f>
        <v>5530.5</v>
      </c>
      <c r="E77" s="105"/>
    </row>
    <row r="78" spans="2:13" x14ac:dyDescent="0.25">
      <c r="C78" s="59">
        <v>3</v>
      </c>
      <c r="D78" s="104">
        <f t="shared" ref="D78:D87" si="6">$L$47+$P$24+$L$70</f>
        <v>5530.5</v>
      </c>
      <c r="E78" s="105"/>
    </row>
    <row r="79" spans="2:13" x14ac:dyDescent="0.25">
      <c r="C79" s="59">
        <v>4</v>
      </c>
      <c r="D79" s="104">
        <f t="shared" si="6"/>
        <v>5530.5</v>
      </c>
      <c r="E79" s="105"/>
    </row>
    <row r="80" spans="2:13" x14ac:dyDescent="0.25">
      <c r="C80" s="59">
        <v>5</v>
      </c>
      <c r="D80" s="104">
        <f t="shared" si="6"/>
        <v>5530.5</v>
      </c>
      <c r="E80" s="105"/>
    </row>
    <row r="81" spans="3:5" x14ac:dyDescent="0.25">
      <c r="C81" s="59">
        <v>6</v>
      </c>
      <c r="D81" s="104">
        <f>L71+L48+P25</f>
        <v>9230.5</v>
      </c>
      <c r="E81" s="105"/>
    </row>
    <row r="82" spans="3:5" x14ac:dyDescent="0.25">
      <c r="C82" s="59">
        <v>7</v>
      </c>
      <c r="D82" s="104">
        <f t="shared" si="6"/>
        <v>5530.5</v>
      </c>
      <c r="E82" s="105"/>
    </row>
    <row r="83" spans="3:5" x14ac:dyDescent="0.25">
      <c r="C83" s="59">
        <v>8</v>
      </c>
      <c r="D83" s="104">
        <f t="shared" si="6"/>
        <v>5530.5</v>
      </c>
      <c r="E83" s="105"/>
    </row>
    <row r="84" spans="3:5" x14ac:dyDescent="0.25">
      <c r="C84" s="59">
        <v>9</v>
      </c>
      <c r="D84" s="104">
        <f t="shared" si="6"/>
        <v>5530.5</v>
      </c>
      <c r="E84" s="105"/>
    </row>
    <row r="85" spans="3:5" x14ac:dyDescent="0.25">
      <c r="C85" s="59">
        <v>10</v>
      </c>
      <c r="D85" s="104">
        <f t="shared" si="6"/>
        <v>5530.5</v>
      </c>
      <c r="E85" s="105"/>
    </row>
    <row r="86" spans="3:5" x14ac:dyDescent="0.25">
      <c r="C86" s="59">
        <v>11</v>
      </c>
      <c r="D86" s="104">
        <f t="shared" si="6"/>
        <v>5530.5</v>
      </c>
      <c r="E86" s="105"/>
    </row>
    <row r="87" spans="3:5" x14ac:dyDescent="0.25">
      <c r="C87" s="59">
        <v>12</v>
      </c>
      <c r="D87" s="104">
        <f t="shared" si="6"/>
        <v>5530.5</v>
      </c>
      <c r="E87" s="105"/>
    </row>
    <row r="89" spans="3:5" x14ac:dyDescent="0.25">
      <c r="C89" s="105" t="s">
        <v>179</v>
      </c>
      <c r="D89" s="105"/>
    </row>
    <row r="90" spans="3:5" x14ac:dyDescent="0.25">
      <c r="C90" s="104">
        <f>SUM(D76:E87)</f>
        <v>158945.5</v>
      </c>
      <c r="D90" s="105"/>
    </row>
  </sheetData>
  <mergeCells count="94">
    <mergeCell ref="C14:D14"/>
    <mergeCell ref="C15:D15"/>
    <mergeCell ref="C9:D9"/>
    <mergeCell ref="O10:P10"/>
    <mergeCell ref="C3:H3"/>
    <mergeCell ref="C5:D5"/>
    <mergeCell ref="C6:D6"/>
    <mergeCell ref="C7:D7"/>
    <mergeCell ref="C8:D8"/>
    <mergeCell ref="S4:T4"/>
    <mergeCell ref="S5:T5"/>
    <mergeCell ref="N22:O22"/>
    <mergeCell ref="C26:H26"/>
    <mergeCell ref="C35:D35"/>
    <mergeCell ref="O27:P27"/>
    <mergeCell ref="F4:K4"/>
    <mergeCell ref="C16:D16"/>
    <mergeCell ref="C17:D17"/>
    <mergeCell ref="C18:D18"/>
    <mergeCell ref="C19:D19"/>
    <mergeCell ref="C20:D20"/>
    <mergeCell ref="C10:D10"/>
    <mergeCell ref="C11:D11"/>
    <mergeCell ref="C12:D12"/>
    <mergeCell ref="C13:D13"/>
    <mergeCell ref="C36:D36"/>
    <mergeCell ref="C37:D37"/>
    <mergeCell ref="C28:D28"/>
    <mergeCell ref="O28:P28"/>
    <mergeCell ref="C29:D29"/>
    <mergeCell ref="C30:D30"/>
    <mergeCell ref="C31:D31"/>
    <mergeCell ref="C32:D32"/>
    <mergeCell ref="C52:D52"/>
    <mergeCell ref="J45:K45"/>
    <mergeCell ref="F27:J27"/>
    <mergeCell ref="N24:O24"/>
    <mergeCell ref="N25:O25"/>
    <mergeCell ref="J47:K47"/>
    <mergeCell ref="J48:K48"/>
    <mergeCell ref="C38:D38"/>
    <mergeCell ref="C39:D39"/>
    <mergeCell ref="C40:D40"/>
    <mergeCell ref="C41:D41"/>
    <mergeCell ref="C42:D42"/>
    <mergeCell ref="C43:D43"/>
    <mergeCell ref="C33:D33"/>
    <mergeCell ref="K33:L33"/>
    <mergeCell ref="C34:D34"/>
    <mergeCell ref="C49:H49"/>
    <mergeCell ref="F50:J50"/>
    <mergeCell ref="O50:P50"/>
    <mergeCell ref="C51:D51"/>
    <mergeCell ref="O51:P51"/>
    <mergeCell ref="J70:K70"/>
    <mergeCell ref="J71:K71"/>
    <mergeCell ref="C58:D58"/>
    <mergeCell ref="C59:D59"/>
    <mergeCell ref="C60:D60"/>
    <mergeCell ref="C61:D61"/>
    <mergeCell ref="C62:D62"/>
    <mergeCell ref="C63:D63"/>
    <mergeCell ref="D84:E84"/>
    <mergeCell ref="C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5:E85"/>
    <mergeCell ref="D86:E86"/>
    <mergeCell ref="D87:E87"/>
    <mergeCell ref="C89:D89"/>
    <mergeCell ref="C90:D90"/>
    <mergeCell ref="C44:D44"/>
    <mergeCell ref="C21:D21"/>
    <mergeCell ref="N23:O23"/>
    <mergeCell ref="J46:K46"/>
    <mergeCell ref="J69:K69"/>
    <mergeCell ref="C67:D67"/>
    <mergeCell ref="C64:D64"/>
    <mergeCell ref="C65:D65"/>
    <mergeCell ref="C66:D66"/>
    <mergeCell ref="J68:K68"/>
    <mergeCell ref="C53:D53"/>
    <mergeCell ref="C54:D54"/>
    <mergeCell ref="C55:D55"/>
    <mergeCell ref="C56:D56"/>
    <mergeCell ref="K56:L56"/>
    <mergeCell ref="C57:D5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94"/>
  <sheetViews>
    <sheetView topLeftCell="B19" zoomScale="70" zoomScaleNormal="70" workbookViewId="0">
      <selection activeCell="G56" sqref="G56"/>
    </sheetView>
  </sheetViews>
  <sheetFormatPr baseColWidth="10" defaultRowHeight="15" x14ac:dyDescent="0.25"/>
  <cols>
    <col min="8" max="8" width="13.140625" customWidth="1"/>
    <col min="10" max="10" width="11.42578125" customWidth="1"/>
    <col min="12" max="12" width="13.28515625" customWidth="1"/>
    <col min="14" max="14" width="17.28515625" customWidth="1"/>
    <col min="16" max="16" width="13.5703125" customWidth="1"/>
    <col min="17" max="17" width="12.42578125" customWidth="1"/>
    <col min="18" max="18" width="15.28515625" customWidth="1"/>
  </cols>
  <sheetData>
    <row r="4" spans="2:21" x14ac:dyDescent="0.25">
      <c r="C4" s="105" t="s">
        <v>183</v>
      </c>
      <c r="D4" s="105"/>
      <c r="E4" s="105"/>
      <c r="F4" s="131"/>
      <c r="G4" s="131"/>
      <c r="H4" s="131"/>
    </row>
    <row r="5" spans="2:21" x14ac:dyDescent="0.25">
      <c r="C5" s="1"/>
      <c r="D5" s="1"/>
      <c r="E5" s="2">
        <v>1</v>
      </c>
      <c r="F5" s="105" t="s">
        <v>130</v>
      </c>
      <c r="G5" s="105"/>
      <c r="H5" s="105"/>
      <c r="I5" s="105"/>
      <c r="J5" s="105"/>
      <c r="K5" s="105"/>
      <c r="O5" s="1"/>
      <c r="P5" s="1"/>
      <c r="Q5" s="1"/>
      <c r="R5" s="1"/>
      <c r="S5" s="11"/>
      <c r="T5" s="11"/>
      <c r="U5" s="1"/>
    </row>
    <row r="6" spans="2:21" x14ac:dyDescent="0.25">
      <c r="C6" s="105" t="s">
        <v>126</v>
      </c>
      <c r="D6" s="105"/>
      <c r="E6" s="59" t="s">
        <v>18</v>
      </c>
      <c r="F6" s="66" t="s">
        <v>147</v>
      </c>
      <c r="G6" s="59" t="s">
        <v>2</v>
      </c>
      <c r="H6" s="66" t="s">
        <v>146</v>
      </c>
      <c r="I6" s="59" t="s">
        <v>2</v>
      </c>
      <c r="J6" s="66" t="s">
        <v>145</v>
      </c>
      <c r="K6" s="59" t="s">
        <v>2</v>
      </c>
      <c r="L6" s="61" t="s">
        <v>144</v>
      </c>
      <c r="M6" s="18" t="s">
        <v>149</v>
      </c>
      <c r="N6" s="71" t="s">
        <v>148</v>
      </c>
      <c r="O6">
        <v>1</v>
      </c>
      <c r="P6" s="135" t="s">
        <v>166</v>
      </c>
      <c r="Q6" s="135"/>
      <c r="R6" s="78">
        <f>SUM(R7:R12)</f>
        <v>27814.06</v>
      </c>
    </row>
    <row r="7" spans="2:21" x14ac:dyDescent="0.25">
      <c r="B7" s="59">
        <v>1</v>
      </c>
      <c r="C7" s="102" t="s">
        <v>186</v>
      </c>
      <c r="D7" s="102"/>
      <c r="E7" s="3">
        <v>120.9</v>
      </c>
      <c r="F7" s="60"/>
      <c r="G7" s="2">
        <v>20</v>
      </c>
      <c r="H7" s="60"/>
      <c r="I7" s="2">
        <v>6</v>
      </c>
      <c r="J7" s="60"/>
      <c r="K7" s="2">
        <v>1</v>
      </c>
      <c r="L7" s="16">
        <f>G7+I7+K7</f>
        <v>27</v>
      </c>
      <c r="M7" s="9">
        <f>L7*E7</f>
        <v>3264.3</v>
      </c>
      <c r="N7" s="8" t="s">
        <v>194</v>
      </c>
      <c r="P7" s="106" t="s">
        <v>198</v>
      </c>
      <c r="Q7" s="106"/>
      <c r="R7" s="3">
        <f>SUM(M7:M14)</f>
        <v>17470.09</v>
      </c>
      <c r="S7" s="106" t="s">
        <v>200</v>
      </c>
      <c r="T7" s="106"/>
    </row>
    <row r="8" spans="2:21" x14ac:dyDescent="0.25">
      <c r="B8" s="59">
        <v>2</v>
      </c>
      <c r="C8" s="102" t="s">
        <v>187</v>
      </c>
      <c r="D8" s="102"/>
      <c r="E8" s="3">
        <v>9</v>
      </c>
      <c r="F8" s="60"/>
      <c r="G8" s="2">
        <v>20</v>
      </c>
      <c r="H8" s="60"/>
      <c r="I8" s="2">
        <v>6</v>
      </c>
      <c r="J8" s="60"/>
      <c r="K8" s="2">
        <v>1</v>
      </c>
      <c r="L8" s="16">
        <f>(G8+I8+K8)*2</f>
        <v>54</v>
      </c>
      <c r="M8" s="9">
        <f>L8*E8</f>
        <v>486</v>
      </c>
      <c r="N8" s="8" t="s">
        <v>193</v>
      </c>
      <c r="P8" s="106" t="s">
        <v>128</v>
      </c>
      <c r="Q8" s="106"/>
      <c r="R8" s="3">
        <f>M8+M9</f>
        <v>1360.8</v>
      </c>
      <c r="S8" s="106" t="s">
        <v>205</v>
      </c>
      <c r="T8" s="106"/>
    </row>
    <row r="9" spans="2:21" x14ac:dyDescent="0.25">
      <c r="B9" s="59">
        <v>3</v>
      </c>
      <c r="C9" s="102" t="s">
        <v>188</v>
      </c>
      <c r="D9" s="102"/>
      <c r="E9" s="3">
        <v>16.2</v>
      </c>
      <c r="F9" s="60"/>
      <c r="G9" s="2">
        <v>20</v>
      </c>
      <c r="H9" s="60"/>
      <c r="I9" s="2">
        <v>6</v>
      </c>
      <c r="J9" s="60"/>
      <c r="K9" s="2">
        <v>1</v>
      </c>
      <c r="L9" s="16">
        <f>(G9+I9+K9)*2</f>
        <v>54</v>
      </c>
      <c r="M9" s="9">
        <f t="shared" ref="M9:M21" si="0">L9*E9</f>
        <v>874.8</v>
      </c>
      <c r="N9" s="8" t="s">
        <v>193</v>
      </c>
      <c r="P9" s="106" t="s">
        <v>199</v>
      </c>
      <c r="Q9" s="106"/>
      <c r="R9" s="3">
        <f>M13+R8</f>
        <v>1460.79</v>
      </c>
      <c r="S9" s="106" t="s">
        <v>202</v>
      </c>
      <c r="T9" s="106"/>
    </row>
    <row r="10" spans="2:21" x14ac:dyDescent="0.25">
      <c r="B10" s="59">
        <v>4</v>
      </c>
      <c r="C10" s="102" t="s">
        <v>189</v>
      </c>
      <c r="D10" s="102"/>
      <c r="E10" s="3">
        <v>240</v>
      </c>
      <c r="F10" s="60"/>
      <c r="G10" s="2">
        <v>20</v>
      </c>
      <c r="H10" s="60"/>
      <c r="I10" s="2">
        <v>6</v>
      </c>
      <c r="J10" s="60"/>
      <c r="K10" s="2">
        <v>1</v>
      </c>
      <c r="L10" s="16">
        <f>(G10+I10+K10)</f>
        <v>27</v>
      </c>
      <c r="M10" s="9">
        <f t="shared" si="0"/>
        <v>6480</v>
      </c>
      <c r="N10" s="8" t="s">
        <v>195</v>
      </c>
      <c r="P10" s="106" t="s">
        <v>171</v>
      </c>
      <c r="Q10" s="106"/>
      <c r="R10" s="3">
        <f>(M10/2)+R8</f>
        <v>4600.8</v>
      </c>
      <c r="S10" s="106" t="s">
        <v>203</v>
      </c>
      <c r="T10" s="106"/>
    </row>
    <row r="11" spans="2:21" x14ac:dyDescent="0.25">
      <c r="B11" s="59">
        <v>5</v>
      </c>
      <c r="C11" s="102" t="s">
        <v>190</v>
      </c>
      <c r="D11" s="102"/>
      <c r="E11" s="3">
        <v>190</v>
      </c>
      <c r="F11" s="60"/>
      <c r="G11" s="2">
        <v>5</v>
      </c>
      <c r="H11" s="60"/>
      <c r="I11" s="2">
        <v>1</v>
      </c>
      <c r="J11" s="60"/>
      <c r="K11" s="2">
        <v>1</v>
      </c>
      <c r="L11" s="16">
        <f t="shared" ref="L11:L21" si="1">G11+I11+K11</f>
        <v>7</v>
      </c>
      <c r="M11" s="9">
        <f t="shared" si="0"/>
        <v>1330</v>
      </c>
      <c r="N11" s="8" t="s">
        <v>195</v>
      </c>
      <c r="P11" s="106" t="s">
        <v>201</v>
      </c>
      <c r="Q11" s="106"/>
      <c r="R11" s="3">
        <f>R9</f>
        <v>1460.79</v>
      </c>
      <c r="S11" s="106" t="s">
        <v>204</v>
      </c>
      <c r="T11" s="106"/>
    </row>
    <row r="12" spans="2:21" x14ac:dyDescent="0.25">
      <c r="B12" s="59">
        <v>6</v>
      </c>
      <c r="C12" s="102" t="s">
        <v>191</v>
      </c>
      <c r="D12" s="102"/>
      <c r="E12" s="3">
        <v>185</v>
      </c>
      <c r="F12" s="60"/>
      <c r="G12" s="2">
        <v>10</v>
      </c>
      <c r="H12" s="60"/>
      <c r="I12" s="2">
        <v>4</v>
      </c>
      <c r="J12" s="60"/>
      <c r="K12" s="2">
        <v>1</v>
      </c>
      <c r="L12" s="16">
        <f t="shared" si="1"/>
        <v>15</v>
      </c>
      <c r="M12" s="9">
        <f t="shared" si="0"/>
        <v>2775</v>
      </c>
      <c r="N12" s="8" t="s">
        <v>194</v>
      </c>
      <c r="O12" s="1"/>
      <c r="P12" s="106" t="s">
        <v>206</v>
      </c>
      <c r="Q12" s="106"/>
      <c r="R12" s="3">
        <f>R11</f>
        <v>1460.79</v>
      </c>
      <c r="S12" s="106" t="s">
        <v>207</v>
      </c>
      <c r="T12" s="106"/>
    </row>
    <row r="13" spans="2:21" x14ac:dyDescent="0.25">
      <c r="B13" s="59">
        <v>7</v>
      </c>
      <c r="C13" s="102" t="s">
        <v>196</v>
      </c>
      <c r="D13" s="102"/>
      <c r="E13" s="3">
        <v>99.99</v>
      </c>
      <c r="F13" s="60"/>
      <c r="G13" s="2">
        <v>1</v>
      </c>
      <c r="H13" s="60"/>
      <c r="I13" s="2">
        <v>0</v>
      </c>
      <c r="J13" s="60"/>
      <c r="K13" s="2">
        <v>0</v>
      </c>
      <c r="L13" s="16">
        <f>G13+I13+K13</f>
        <v>1</v>
      </c>
      <c r="M13" s="9">
        <f t="shared" si="0"/>
        <v>99.99</v>
      </c>
      <c r="N13" s="8" t="s">
        <v>197</v>
      </c>
    </row>
    <row r="14" spans="2:21" x14ac:dyDescent="0.25">
      <c r="B14" s="59">
        <v>8</v>
      </c>
      <c r="C14" s="102" t="s">
        <v>192</v>
      </c>
      <c r="D14" s="102"/>
      <c r="E14" s="3">
        <v>80</v>
      </c>
      <c r="F14" s="60"/>
      <c r="G14" s="2">
        <v>20</v>
      </c>
      <c r="H14" s="60"/>
      <c r="I14" s="2">
        <v>6</v>
      </c>
      <c r="J14" s="60"/>
      <c r="K14" s="2">
        <v>1</v>
      </c>
      <c r="L14" s="16">
        <f t="shared" si="1"/>
        <v>27</v>
      </c>
      <c r="M14" s="9">
        <f t="shared" si="0"/>
        <v>2160</v>
      </c>
      <c r="N14" s="8" t="s">
        <v>195</v>
      </c>
    </row>
    <row r="15" spans="2:21" x14ac:dyDescent="0.25">
      <c r="B15" s="59">
        <v>9</v>
      </c>
      <c r="C15" s="102"/>
      <c r="D15" s="102"/>
      <c r="E15" s="3"/>
      <c r="F15" s="60"/>
      <c r="G15" s="2"/>
      <c r="H15" s="60"/>
      <c r="I15" s="2"/>
      <c r="J15" s="60"/>
      <c r="K15" s="2"/>
      <c r="L15" s="16">
        <f t="shared" si="1"/>
        <v>0</v>
      </c>
      <c r="M15" s="9">
        <f t="shared" si="0"/>
        <v>0</v>
      </c>
      <c r="N15" s="8"/>
    </row>
    <row r="16" spans="2:21" x14ac:dyDescent="0.25">
      <c r="B16" s="59">
        <v>10</v>
      </c>
      <c r="C16" s="102"/>
      <c r="D16" s="102"/>
      <c r="E16" s="3"/>
      <c r="F16" s="60"/>
      <c r="G16" s="2"/>
      <c r="H16" s="60"/>
      <c r="I16" s="2"/>
      <c r="J16" s="60"/>
      <c r="K16" s="2"/>
      <c r="L16" s="16">
        <f t="shared" si="1"/>
        <v>0</v>
      </c>
      <c r="M16" s="9">
        <f t="shared" si="0"/>
        <v>0</v>
      </c>
      <c r="N16" s="8"/>
    </row>
    <row r="17" spans="2:16" x14ac:dyDescent="0.25">
      <c r="B17" s="59">
        <v>11</v>
      </c>
      <c r="C17" s="102"/>
      <c r="D17" s="102"/>
      <c r="E17" s="3"/>
      <c r="F17" s="60"/>
      <c r="G17" s="2"/>
      <c r="H17" s="60"/>
      <c r="I17" s="2"/>
      <c r="J17" s="60"/>
      <c r="K17" s="2"/>
      <c r="L17" s="16">
        <f t="shared" si="1"/>
        <v>0</v>
      </c>
      <c r="M17" s="9">
        <f t="shared" si="0"/>
        <v>0</v>
      </c>
      <c r="N17" s="8"/>
    </row>
    <row r="18" spans="2:16" x14ac:dyDescent="0.25">
      <c r="B18" s="59">
        <v>12</v>
      </c>
      <c r="C18" s="102"/>
      <c r="D18" s="102"/>
      <c r="E18" s="3"/>
      <c r="F18" s="60"/>
      <c r="G18" s="2"/>
      <c r="H18" s="60"/>
      <c r="I18" s="2"/>
      <c r="J18" s="60"/>
      <c r="K18" s="2"/>
      <c r="L18" s="16">
        <f t="shared" si="1"/>
        <v>0</v>
      </c>
      <c r="M18" s="9">
        <f t="shared" si="0"/>
        <v>0</v>
      </c>
      <c r="N18" s="8"/>
    </row>
    <row r="19" spans="2:16" x14ac:dyDescent="0.25">
      <c r="B19" s="59">
        <v>13</v>
      </c>
      <c r="C19" s="102"/>
      <c r="D19" s="102"/>
      <c r="E19" s="3"/>
      <c r="F19" s="60"/>
      <c r="G19" s="2"/>
      <c r="H19" s="60"/>
      <c r="I19" s="2"/>
      <c r="J19" s="60"/>
      <c r="K19" s="2"/>
      <c r="L19" s="16">
        <f t="shared" si="1"/>
        <v>0</v>
      </c>
      <c r="M19" s="9">
        <f t="shared" si="0"/>
        <v>0</v>
      </c>
      <c r="N19" s="8"/>
    </row>
    <row r="20" spans="2:16" x14ac:dyDescent="0.25">
      <c r="B20" s="59">
        <v>14</v>
      </c>
      <c r="C20" s="102"/>
      <c r="D20" s="102"/>
      <c r="E20" s="3"/>
      <c r="F20" s="60"/>
      <c r="G20" s="2"/>
      <c r="H20" s="60"/>
      <c r="I20" s="2"/>
      <c r="J20" s="60"/>
      <c r="K20" s="2"/>
      <c r="L20" s="16">
        <f t="shared" si="1"/>
        <v>0</v>
      </c>
      <c r="M20" s="9">
        <f t="shared" si="0"/>
        <v>0</v>
      </c>
      <c r="N20" s="8"/>
    </row>
    <row r="21" spans="2:16" x14ac:dyDescent="0.25">
      <c r="B21" s="59">
        <v>15</v>
      </c>
      <c r="C21" s="102"/>
      <c r="D21" s="102"/>
      <c r="E21" s="3"/>
      <c r="F21" s="60"/>
      <c r="G21" s="2"/>
      <c r="H21" s="60"/>
      <c r="I21" s="2"/>
      <c r="J21" s="60"/>
      <c r="K21" s="2"/>
      <c r="L21" s="16">
        <f t="shared" si="1"/>
        <v>0</v>
      </c>
      <c r="M21" s="9">
        <f t="shared" si="0"/>
        <v>0</v>
      </c>
      <c r="N21" s="8"/>
    </row>
    <row r="28" spans="2:16" x14ac:dyDescent="0.25">
      <c r="C28" s="105" t="s">
        <v>129</v>
      </c>
      <c r="D28" s="105"/>
      <c r="E28" s="105"/>
      <c r="F28" s="131"/>
      <c r="G28" s="131"/>
      <c r="H28" s="131"/>
    </row>
    <row r="29" spans="2:16" x14ac:dyDescent="0.25">
      <c r="C29" s="1"/>
      <c r="D29" s="1"/>
      <c r="E29" s="2">
        <v>2</v>
      </c>
      <c r="F29" s="112" t="s">
        <v>131</v>
      </c>
      <c r="G29" s="113"/>
      <c r="H29" s="113"/>
      <c r="I29" s="113"/>
      <c r="J29" s="114"/>
      <c r="K29" s="1">
        <v>2</v>
      </c>
      <c r="L29" s="135" t="s">
        <v>166</v>
      </c>
      <c r="M29" s="135"/>
      <c r="N29" s="78">
        <f>SUM(N30:N35)</f>
        <v>6704.46</v>
      </c>
    </row>
    <row r="30" spans="2:16" x14ac:dyDescent="0.25">
      <c r="C30" s="105" t="s">
        <v>126</v>
      </c>
      <c r="D30" s="105"/>
      <c r="E30" s="59" t="s">
        <v>18</v>
      </c>
      <c r="F30" s="66" t="s">
        <v>184</v>
      </c>
      <c r="G30" s="59" t="s">
        <v>2</v>
      </c>
      <c r="H30" s="61" t="s">
        <v>144</v>
      </c>
      <c r="I30" s="18" t="s">
        <v>149</v>
      </c>
      <c r="J30" s="71" t="s">
        <v>148</v>
      </c>
      <c r="K30" s="1"/>
      <c r="L30" s="106" t="s">
        <v>198</v>
      </c>
      <c r="M30" s="106"/>
      <c r="N30" s="3">
        <f>SUM(I30:I38)</f>
        <v>3800.49</v>
      </c>
      <c r="O30" s="106" t="s">
        <v>200</v>
      </c>
      <c r="P30" s="106"/>
    </row>
    <row r="31" spans="2:16" x14ac:dyDescent="0.25">
      <c r="B31" s="59">
        <v>1</v>
      </c>
      <c r="C31" s="102" t="s">
        <v>186</v>
      </c>
      <c r="D31" s="102"/>
      <c r="E31" s="3">
        <v>120.9</v>
      </c>
      <c r="F31" s="60"/>
      <c r="G31" s="2">
        <v>3</v>
      </c>
      <c r="H31" s="16">
        <f>G31</f>
        <v>3</v>
      </c>
      <c r="I31" s="9">
        <f>H31*E31</f>
        <v>362.70000000000005</v>
      </c>
      <c r="J31" s="8" t="s">
        <v>194</v>
      </c>
      <c r="K31" s="1"/>
      <c r="L31" s="106" t="s">
        <v>128</v>
      </c>
      <c r="M31" s="106"/>
      <c r="N31" s="3">
        <f>I33+I32</f>
        <v>352.79999999999995</v>
      </c>
      <c r="O31" s="106" t="s">
        <v>205</v>
      </c>
      <c r="P31" s="106"/>
    </row>
    <row r="32" spans="2:16" x14ac:dyDescent="0.25">
      <c r="B32" s="59">
        <v>2</v>
      </c>
      <c r="C32" s="102" t="s">
        <v>187</v>
      </c>
      <c r="D32" s="102"/>
      <c r="E32" s="3">
        <v>9</v>
      </c>
      <c r="F32" s="60"/>
      <c r="G32" s="2">
        <v>14</v>
      </c>
      <c r="H32" s="16">
        <f t="shared" ref="H32:H38" si="2">G32</f>
        <v>14</v>
      </c>
      <c r="I32" s="9">
        <f t="shared" ref="I32:I45" si="3">H32*E32</f>
        <v>126</v>
      </c>
      <c r="J32" s="8" t="s">
        <v>193</v>
      </c>
      <c r="K32" s="45"/>
      <c r="L32" s="106" t="s">
        <v>199</v>
      </c>
      <c r="M32" s="106"/>
      <c r="N32" s="3">
        <f>I37+N31</f>
        <v>452.78999999999996</v>
      </c>
      <c r="O32" s="106" t="s">
        <v>202</v>
      </c>
      <c r="P32" s="106"/>
    </row>
    <row r="33" spans="2:16" x14ac:dyDescent="0.25">
      <c r="B33" s="59">
        <v>3</v>
      </c>
      <c r="C33" s="102" t="s">
        <v>188</v>
      </c>
      <c r="D33" s="102"/>
      <c r="E33" s="3">
        <v>16.2</v>
      </c>
      <c r="F33" s="60"/>
      <c r="G33" s="2">
        <v>14</v>
      </c>
      <c r="H33" s="16">
        <f t="shared" si="2"/>
        <v>14</v>
      </c>
      <c r="I33" s="9">
        <f t="shared" si="3"/>
        <v>226.79999999999998</v>
      </c>
      <c r="J33" s="8" t="s">
        <v>193</v>
      </c>
      <c r="K33" s="45"/>
      <c r="L33" s="106" t="s">
        <v>171</v>
      </c>
      <c r="M33" s="106"/>
      <c r="N33" s="3">
        <f>(I34/2)+N31</f>
        <v>1192.8</v>
      </c>
      <c r="O33" s="106" t="s">
        <v>203</v>
      </c>
      <c r="P33" s="106"/>
    </row>
    <row r="34" spans="2:16" x14ac:dyDescent="0.25">
      <c r="B34" s="59">
        <v>4</v>
      </c>
      <c r="C34" s="102" t="s">
        <v>189</v>
      </c>
      <c r="D34" s="102"/>
      <c r="E34" s="3">
        <v>240</v>
      </c>
      <c r="F34" s="60"/>
      <c r="G34" s="2">
        <v>7</v>
      </c>
      <c r="H34" s="16">
        <f t="shared" si="2"/>
        <v>7</v>
      </c>
      <c r="I34" s="9">
        <f t="shared" si="3"/>
        <v>1680</v>
      </c>
      <c r="J34" s="8" t="s">
        <v>195</v>
      </c>
      <c r="L34" s="106" t="s">
        <v>201</v>
      </c>
      <c r="M34" s="106"/>
      <c r="N34" s="3">
        <f>N32</f>
        <v>452.78999999999996</v>
      </c>
      <c r="O34" s="106" t="s">
        <v>204</v>
      </c>
      <c r="P34" s="106"/>
    </row>
    <row r="35" spans="2:16" x14ac:dyDescent="0.25">
      <c r="B35" s="59">
        <v>5</v>
      </c>
      <c r="C35" s="102" t="s">
        <v>190</v>
      </c>
      <c r="D35" s="102"/>
      <c r="E35" s="3">
        <v>190</v>
      </c>
      <c r="F35" s="60"/>
      <c r="G35" s="2">
        <v>1</v>
      </c>
      <c r="H35" s="16">
        <f t="shared" si="2"/>
        <v>1</v>
      </c>
      <c r="I35" s="9">
        <f t="shared" si="3"/>
        <v>190</v>
      </c>
      <c r="J35" s="8" t="s">
        <v>195</v>
      </c>
      <c r="K35" s="79"/>
      <c r="L35" s="106" t="s">
        <v>206</v>
      </c>
      <c r="M35" s="106"/>
      <c r="N35" s="3">
        <f>N34</f>
        <v>452.78999999999996</v>
      </c>
      <c r="O35" s="106" t="s">
        <v>207</v>
      </c>
      <c r="P35" s="106"/>
    </row>
    <row r="36" spans="2:16" x14ac:dyDescent="0.25">
      <c r="B36" s="59">
        <v>6</v>
      </c>
      <c r="C36" s="102" t="s">
        <v>191</v>
      </c>
      <c r="D36" s="102"/>
      <c r="E36" s="3">
        <v>185</v>
      </c>
      <c r="F36" s="60"/>
      <c r="G36" s="2">
        <v>3</v>
      </c>
      <c r="H36" s="16">
        <f t="shared" si="2"/>
        <v>3</v>
      </c>
      <c r="I36" s="9">
        <f t="shared" si="3"/>
        <v>555</v>
      </c>
      <c r="J36" s="8" t="s">
        <v>194</v>
      </c>
    </row>
    <row r="37" spans="2:16" x14ac:dyDescent="0.25">
      <c r="B37" s="59">
        <v>7</v>
      </c>
      <c r="C37" s="102" t="s">
        <v>196</v>
      </c>
      <c r="D37" s="102"/>
      <c r="E37" s="3">
        <v>99.99</v>
      </c>
      <c r="F37" s="60"/>
      <c r="G37" s="2">
        <v>1</v>
      </c>
      <c r="H37" s="16">
        <f t="shared" si="2"/>
        <v>1</v>
      </c>
      <c r="I37" s="9">
        <f t="shared" si="3"/>
        <v>99.99</v>
      </c>
      <c r="J37" s="8" t="s">
        <v>197</v>
      </c>
    </row>
    <row r="38" spans="2:16" x14ac:dyDescent="0.25">
      <c r="B38" s="59">
        <v>8</v>
      </c>
      <c r="C38" s="102" t="s">
        <v>192</v>
      </c>
      <c r="D38" s="102"/>
      <c r="E38" s="3">
        <v>80</v>
      </c>
      <c r="F38" s="60"/>
      <c r="G38" s="2">
        <v>7</v>
      </c>
      <c r="H38" s="16">
        <f t="shared" si="2"/>
        <v>7</v>
      </c>
      <c r="I38" s="9">
        <f t="shared" si="3"/>
        <v>560</v>
      </c>
      <c r="J38" s="8" t="s">
        <v>195</v>
      </c>
    </row>
    <row r="39" spans="2:16" x14ac:dyDescent="0.25">
      <c r="B39" s="59">
        <v>9</v>
      </c>
      <c r="C39" s="102"/>
      <c r="D39" s="102"/>
      <c r="E39" s="3"/>
      <c r="F39" s="60"/>
      <c r="G39" s="2"/>
      <c r="H39" s="16"/>
      <c r="I39" s="9">
        <f t="shared" si="3"/>
        <v>0</v>
      </c>
      <c r="J39" s="8"/>
    </row>
    <row r="40" spans="2:16" x14ac:dyDescent="0.25">
      <c r="B40" s="59">
        <v>10</v>
      </c>
      <c r="C40" s="102"/>
      <c r="D40" s="102"/>
      <c r="E40" s="3"/>
      <c r="F40" s="60"/>
      <c r="G40" s="2"/>
      <c r="H40" s="16"/>
      <c r="I40" s="9">
        <f t="shared" si="3"/>
        <v>0</v>
      </c>
      <c r="J40" s="8"/>
    </row>
    <row r="41" spans="2:16" x14ac:dyDescent="0.25">
      <c r="B41" s="59">
        <v>11</v>
      </c>
      <c r="C41" s="102"/>
      <c r="D41" s="102"/>
      <c r="E41" s="3"/>
      <c r="F41" s="60"/>
      <c r="G41" s="2"/>
      <c r="H41" s="16"/>
      <c r="I41" s="9">
        <f t="shared" si="3"/>
        <v>0</v>
      </c>
      <c r="J41" s="8"/>
    </row>
    <row r="42" spans="2:16" x14ac:dyDescent="0.25">
      <c r="B42" s="59">
        <v>12</v>
      </c>
      <c r="C42" s="102"/>
      <c r="D42" s="102"/>
      <c r="E42" s="3"/>
      <c r="F42" s="60"/>
      <c r="G42" s="2"/>
      <c r="H42" s="16"/>
      <c r="I42" s="9">
        <f t="shared" si="3"/>
        <v>0</v>
      </c>
      <c r="J42" s="8"/>
    </row>
    <row r="43" spans="2:16" x14ac:dyDescent="0.25">
      <c r="B43" s="59">
        <v>13</v>
      </c>
      <c r="C43" s="102"/>
      <c r="D43" s="102"/>
      <c r="E43" s="3"/>
      <c r="F43" s="60"/>
      <c r="G43" s="2"/>
      <c r="H43" s="16"/>
      <c r="I43" s="9">
        <f t="shared" si="3"/>
        <v>0</v>
      </c>
      <c r="J43" s="8"/>
    </row>
    <row r="44" spans="2:16" x14ac:dyDescent="0.25">
      <c r="B44" s="59">
        <v>14</v>
      </c>
      <c r="C44" s="102"/>
      <c r="D44" s="102"/>
      <c r="E44" s="3"/>
      <c r="F44" s="60"/>
      <c r="G44" s="2"/>
      <c r="H44" s="16"/>
      <c r="I44" s="9">
        <f t="shared" si="3"/>
        <v>0</v>
      </c>
      <c r="J44" s="8"/>
    </row>
    <row r="45" spans="2:16" x14ac:dyDescent="0.25">
      <c r="B45" s="59">
        <v>15</v>
      </c>
      <c r="C45" s="102"/>
      <c r="D45" s="102"/>
      <c r="E45" s="3"/>
      <c r="F45" s="60"/>
      <c r="G45" s="2"/>
      <c r="H45" s="16"/>
      <c r="I45" s="9">
        <f t="shared" si="3"/>
        <v>0</v>
      </c>
      <c r="J45" s="8"/>
    </row>
    <row r="46" spans="2:16" x14ac:dyDescent="0.25">
      <c r="B46" s="63"/>
    </row>
    <row r="52" spans="2:16" x14ac:dyDescent="0.25">
      <c r="C52" s="105" t="s">
        <v>129</v>
      </c>
      <c r="D52" s="105"/>
      <c r="E52" s="105"/>
      <c r="F52" s="131"/>
      <c r="G52" s="131"/>
      <c r="H52" s="131"/>
    </row>
    <row r="53" spans="2:16" x14ac:dyDescent="0.25">
      <c r="C53" s="77"/>
      <c r="D53" s="77"/>
      <c r="E53" s="59">
        <v>3</v>
      </c>
      <c r="F53" s="112" t="s">
        <v>174</v>
      </c>
      <c r="G53" s="113"/>
      <c r="H53" s="113"/>
      <c r="I53" s="113"/>
      <c r="J53" s="114"/>
      <c r="K53" s="1">
        <v>3</v>
      </c>
      <c r="L53" s="135" t="s">
        <v>166</v>
      </c>
      <c r="M53" s="135"/>
      <c r="N53" s="78">
        <f>SUM(N54:N59)</f>
        <v>5962.06</v>
      </c>
    </row>
    <row r="54" spans="2:16" x14ac:dyDescent="0.25">
      <c r="C54" s="105" t="s">
        <v>126</v>
      </c>
      <c r="D54" s="105"/>
      <c r="E54" s="59" t="s">
        <v>18</v>
      </c>
      <c r="F54" s="66" t="s">
        <v>185</v>
      </c>
      <c r="G54" s="59" t="s">
        <v>2</v>
      </c>
      <c r="H54" s="61" t="s">
        <v>144</v>
      </c>
      <c r="I54" s="18" t="s">
        <v>149</v>
      </c>
      <c r="J54" s="71" t="s">
        <v>148</v>
      </c>
      <c r="K54" s="1"/>
      <c r="L54" s="106" t="s">
        <v>198</v>
      </c>
      <c r="M54" s="106"/>
      <c r="N54" s="3">
        <f>SUM(I54:I62)</f>
        <v>3430.0899999999997</v>
      </c>
      <c r="O54" s="106" t="s">
        <v>200</v>
      </c>
      <c r="P54" s="106"/>
    </row>
    <row r="55" spans="2:16" x14ac:dyDescent="0.25">
      <c r="B55" s="59">
        <v>1</v>
      </c>
      <c r="C55" s="102" t="s">
        <v>186</v>
      </c>
      <c r="D55" s="102"/>
      <c r="E55" s="3">
        <v>120.9</v>
      </c>
      <c r="F55" s="60"/>
      <c r="G55" s="2">
        <v>3</v>
      </c>
      <c r="H55" s="16">
        <f>G55</f>
        <v>3</v>
      </c>
      <c r="I55" s="9">
        <f>H55*E55</f>
        <v>362.70000000000005</v>
      </c>
      <c r="J55" s="8" t="s">
        <v>194</v>
      </c>
      <c r="K55" s="1"/>
      <c r="L55" s="106" t="s">
        <v>128</v>
      </c>
      <c r="M55" s="106"/>
      <c r="N55" s="3">
        <f>I57+I56</f>
        <v>302.39999999999998</v>
      </c>
      <c r="O55" s="106" t="s">
        <v>205</v>
      </c>
      <c r="P55" s="106"/>
    </row>
    <row r="56" spans="2:16" x14ac:dyDescent="0.25">
      <c r="B56" s="59">
        <v>2</v>
      </c>
      <c r="C56" s="102" t="s">
        <v>187</v>
      </c>
      <c r="D56" s="102"/>
      <c r="E56" s="3">
        <v>9</v>
      </c>
      <c r="F56" s="60"/>
      <c r="G56" s="2">
        <v>12</v>
      </c>
      <c r="H56" s="16">
        <f t="shared" ref="H56:H62" si="4">G56</f>
        <v>12</v>
      </c>
      <c r="I56" s="9">
        <f t="shared" ref="I56:I69" si="5">H56*E56</f>
        <v>108</v>
      </c>
      <c r="J56" s="8" t="s">
        <v>193</v>
      </c>
      <c r="K56" s="45"/>
      <c r="L56" s="106" t="s">
        <v>199</v>
      </c>
      <c r="M56" s="106"/>
      <c r="N56" s="3">
        <f>I61+N55</f>
        <v>402.39</v>
      </c>
      <c r="O56" s="106" t="s">
        <v>202</v>
      </c>
      <c r="P56" s="106"/>
    </row>
    <row r="57" spans="2:16" x14ac:dyDescent="0.25">
      <c r="B57" s="59">
        <v>3</v>
      </c>
      <c r="C57" s="102" t="s">
        <v>188</v>
      </c>
      <c r="D57" s="102"/>
      <c r="E57" s="3">
        <v>16.2</v>
      </c>
      <c r="F57" s="60"/>
      <c r="G57" s="2">
        <v>12</v>
      </c>
      <c r="H57" s="16">
        <f t="shared" si="4"/>
        <v>12</v>
      </c>
      <c r="I57" s="9">
        <f t="shared" si="5"/>
        <v>194.39999999999998</v>
      </c>
      <c r="J57" s="8" t="s">
        <v>193</v>
      </c>
      <c r="K57" s="45"/>
      <c r="L57" s="106" t="s">
        <v>171</v>
      </c>
      <c r="M57" s="106"/>
      <c r="N57" s="41">
        <f>(I58/2)+N55</f>
        <v>1022.4</v>
      </c>
      <c r="O57" s="106" t="s">
        <v>203</v>
      </c>
      <c r="P57" s="106"/>
    </row>
    <row r="58" spans="2:16" x14ac:dyDescent="0.25">
      <c r="B58" s="59">
        <v>4</v>
      </c>
      <c r="C58" s="102" t="s">
        <v>189</v>
      </c>
      <c r="D58" s="102"/>
      <c r="E58" s="3">
        <v>240</v>
      </c>
      <c r="F58" s="60"/>
      <c r="G58" s="2">
        <v>6</v>
      </c>
      <c r="H58" s="16">
        <f t="shared" si="4"/>
        <v>6</v>
      </c>
      <c r="I58" s="9">
        <f t="shared" si="5"/>
        <v>1440</v>
      </c>
      <c r="J58" s="8" t="s">
        <v>195</v>
      </c>
      <c r="L58" s="106" t="s">
        <v>201</v>
      </c>
      <c r="M58" s="106"/>
      <c r="N58" s="3">
        <f>N56</f>
        <v>402.39</v>
      </c>
      <c r="O58" s="106" t="s">
        <v>204</v>
      </c>
      <c r="P58" s="106"/>
    </row>
    <row r="59" spans="2:16" x14ac:dyDescent="0.25">
      <c r="B59" s="59">
        <v>5</v>
      </c>
      <c r="C59" s="102" t="s">
        <v>190</v>
      </c>
      <c r="D59" s="102"/>
      <c r="E59" s="3">
        <v>190</v>
      </c>
      <c r="F59" s="60"/>
      <c r="G59" s="2">
        <v>1</v>
      </c>
      <c r="H59" s="16">
        <f t="shared" si="4"/>
        <v>1</v>
      </c>
      <c r="I59" s="9">
        <f t="shared" si="5"/>
        <v>190</v>
      </c>
      <c r="J59" s="8" t="s">
        <v>195</v>
      </c>
      <c r="K59" s="79"/>
      <c r="L59" s="106" t="s">
        <v>206</v>
      </c>
      <c r="M59" s="106"/>
      <c r="N59" s="3">
        <f>N58</f>
        <v>402.39</v>
      </c>
      <c r="O59" s="106" t="s">
        <v>207</v>
      </c>
      <c r="P59" s="106"/>
    </row>
    <row r="60" spans="2:16" x14ac:dyDescent="0.25">
      <c r="B60" s="59">
        <v>6</v>
      </c>
      <c r="C60" s="102" t="s">
        <v>191</v>
      </c>
      <c r="D60" s="102"/>
      <c r="E60" s="3">
        <v>185</v>
      </c>
      <c r="F60" s="60"/>
      <c r="G60" s="2">
        <v>3</v>
      </c>
      <c r="H60" s="16">
        <f t="shared" si="4"/>
        <v>3</v>
      </c>
      <c r="I60" s="9">
        <f t="shared" si="5"/>
        <v>555</v>
      </c>
      <c r="J60" s="8" t="s">
        <v>194</v>
      </c>
    </row>
    <row r="61" spans="2:16" x14ac:dyDescent="0.25">
      <c r="B61" s="59">
        <v>7</v>
      </c>
      <c r="C61" s="102" t="s">
        <v>196</v>
      </c>
      <c r="D61" s="102"/>
      <c r="E61" s="3">
        <v>99.99</v>
      </c>
      <c r="F61" s="60"/>
      <c r="G61" s="2">
        <v>1</v>
      </c>
      <c r="H61" s="16">
        <f t="shared" si="4"/>
        <v>1</v>
      </c>
      <c r="I61" s="9">
        <f t="shared" si="5"/>
        <v>99.99</v>
      </c>
      <c r="J61" s="8" t="s">
        <v>197</v>
      </c>
    </row>
    <row r="62" spans="2:16" x14ac:dyDescent="0.25">
      <c r="B62" s="59">
        <v>8</v>
      </c>
      <c r="C62" s="102" t="s">
        <v>192</v>
      </c>
      <c r="D62" s="102"/>
      <c r="E62" s="3">
        <v>80</v>
      </c>
      <c r="F62" s="60"/>
      <c r="G62" s="2">
        <v>6</v>
      </c>
      <c r="H62" s="16">
        <f t="shared" si="4"/>
        <v>6</v>
      </c>
      <c r="I62" s="9">
        <f t="shared" si="5"/>
        <v>480</v>
      </c>
      <c r="J62" s="8" t="s">
        <v>195</v>
      </c>
    </row>
    <row r="63" spans="2:16" x14ac:dyDescent="0.25">
      <c r="B63" s="59">
        <v>9</v>
      </c>
      <c r="C63" s="102"/>
      <c r="D63" s="102"/>
      <c r="E63" s="3"/>
      <c r="F63" s="60"/>
      <c r="G63" s="2"/>
      <c r="H63" s="16"/>
      <c r="I63" s="9">
        <f t="shared" si="5"/>
        <v>0</v>
      </c>
      <c r="J63" s="8"/>
    </row>
    <row r="64" spans="2:16" x14ac:dyDescent="0.25">
      <c r="B64" s="59">
        <v>10</v>
      </c>
      <c r="C64" s="102"/>
      <c r="D64" s="102"/>
      <c r="E64" s="3"/>
      <c r="F64" s="60"/>
      <c r="G64" s="2"/>
      <c r="H64" s="16"/>
      <c r="I64" s="9">
        <f t="shared" si="5"/>
        <v>0</v>
      </c>
      <c r="J64" s="8"/>
    </row>
    <row r="65" spans="2:10" x14ac:dyDescent="0.25">
      <c r="B65" s="59">
        <v>11</v>
      </c>
      <c r="C65" s="102"/>
      <c r="D65" s="102"/>
      <c r="E65" s="3"/>
      <c r="F65" s="60"/>
      <c r="G65" s="2"/>
      <c r="H65" s="16"/>
      <c r="I65" s="9">
        <f t="shared" si="5"/>
        <v>0</v>
      </c>
      <c r="J65" s="8"/>
    </row>
    <row r="66" spans="2:10" x14ac:dyDescent="0.25">
      <c r="B66" s="59">
        <v>12</v>
      </c>
      <c r="C66" s="102"/>
      <c r="D66" s="102"/>
      <c r="E66" s="3"/>
      <c r="F66" s="60"/>
      <c r="G66" s="2"/>
      <c r="H66" s="16"/>
      <c r="I66" s="9">
        <f t="shared" si="5"/>
        <v>0</v>
      </c>
      <c r="J66" s="8"/>
    </row>
    <row r="67" spans="2:10" x14ac:dyDescent="0.25">
      <c r="B67" s="59">
        <v>13</v>
      </c>
      <c r="C67" s="102"/>
      <c r="D67" s="102"/>
      <c r="E67" s="3"/>
      <c r="F67" s="60"/>
      <c r="G67" s="2"/>
      <c r="H67" s="16"/>
      <c r="I67" s="9">
        <f t="shared" si="5"/>
        <v>0</v>
      </c>
      <c r="J67" s="8"/>
    </row>
    <row r="68" spans="2:10" x14ac:dyDescent="0.25">
      <c r="B68" s="59">
        <v>14</v>
      </c>
      <c r="C68" s="102"/>
      <c r="D68" s="102"/>
      <c r="E68" s="3"/>
      <c r="F68" s="60"/>
      <c r="G68" s="2"/>
      <c r="H68" s="16"/>
      <c r="I68" s="9">
        <f t="shared" si="5"/>
        <v>0</v>
      </c>
      <c r="J68" s="8"/>
    </row>
    <row r="69" spans="2:10" x14ac:dyDescent="0.25">
      <c r="B69" s="59">
        <v>15</v>
      </c>
      <c r="C69" s="102"/>
      <c r="D69" s="102"/>
      <c r="E69" s="3"/>
      <c r="F69" s="60"/>
      <c r="G69" s="2"/>
      <c r="H69" s="16"/>
      <c r="I69" s="9">
        <f t="shared" si="5"/>
        <v>0</v>
      </c>
      <c r="J69" s="8"/>
    </row>
    <row r="70" spans="2:10" x14ac:dyDescent="0.25">
      <c r="B70" s="63"/>
    </row>
    <row r="71" spans="2:10" x14ac:dyDescent="0.25">
      <c r="I71">
        <v>3</v>
      </c>
    </row>
    <row r="78" spans="2:10" x14ac:dyDescent="0.25">
      <c r="C78" s="105" t="s">
        <v>175</v>
      </c>
      <c r="D78" s="105"/>
      <c r="E78" s="105"/>
    </row>
    <row r="79" spans="2:10" x14ac:dyDescent="0.25">
      <c r="C79" s="59" t="s">
        <v>176</v>
      </c>
      <c r="D79" s="105" t="s">
        <v>2</v>
      </c>
      <c r="E79" s="105"/>
    </row>
    <row r="80" spans="2:10" x14ac:dyDescent="0.25">
      <c r="C80" s="59">
        <v>1</v>
      </c>
      <c r="D80" s="104">
        <f>N54+N30+R7</f>
        <v>24700.67</v>
      </c>
      <c r="E80" s="104"/>
    </row>
    <row r="81" spans="3:5" x14ac:dyDescent="0.25">
      <c r="C81" s="59">
        <v>2</v>
      </c>
      <c r="D81" s="104">
        <f>$R$8+$N$55+$N$31</f>
        <v>2015.9999999999998</v>
      </c>
      <c r="E81" s="105"/>
    </row>
    <row r="82" spans="3:5" x14ac:dyDescent="0.25">
      <c r="C82" s="59">
        <v>3</v>
      </c>
      <c r="D82" s="104">
        <f t="shared" ref="D82:D90" si="6">$R$8+$N$55+$N$31</f>
        <v>2015.9999999999998</v>
      </c>
      <c r="E82" s="105"/>
    </row>
    <row r="83" spans="3:5" x14ac:dyDescent="0.25">
      <c r="C83" s="59">
        <v>4</v>
      </c>
      <c r="D83" s="104">
        <f>$R$8+$N$55+$N$31+N56+N32+R9</f>
        <v>4331.9699999999993</v>
      </c>
      <c r="E83" s="105"/>
    </row>
    <row r="84" spans="3:5" x14ac:dyDescent="0.25">
      <c r="C84" s="59">
        <v>5</v>
      </c>
      <c r="D84" s="104">
        <f t="shared" si="6"/>
        <v>2015.9999999999998</v>
      </c>
      <c r="E84" s="105"/>
    </row>
    <row r="85" spans="3:5" x14ac:dyDescent="0.25">
      <c r="C85" s="59">
        <v>6</v>
      </c>
      <c r="D85" s="104">
        <f>$R$8+$N$55+$N$31+N57+N33+R10</f>
        <v>8832</v>
      </c>
      <c r="E85" s="105"/>
    </row>
    <row r="86" spans="3:5" x14ac:dyDescent="0.25">
      <c r="C86" s="59">
        <v>7</v>
      </c>
      <c r="D86" s="104">
        <f t="shared" si="6"/>
        <v>2015.9999999999998</v>
      </c>
      <c r="E86" s="105"/>
    </row>
    <row r="87" spans="3:5" x14ac:dyDescent="0.25">
      <c r="C87" s="59">
        <v>8</v>
      </c>
      <c r="D87" s="104">
        <f>D83</f>
        <v>4331.9699999999993</v>
      </c>
      <c r="E87" s="105"/>
    </row>
    <row r="88" spans="3:5" x14ac:dyDescent="0.25">
      <c r="C88" s="59">
        <v>9</v>
      </c>
      <c r="D88" s="104">
        <f t="shared" si="6"/>
        <v>2015.9999999999998</v>
      </c>
      <c r="E88" s="105"/>
    </row>
    <row r="89" spans="3:5" x14ac:dyDescent="0.25">
      <c r="C89" s="59">
        <v>10</v>
      </c>
      <c r="D89" s="104">
        <f t="shared" si="6"/>
        <v>2015.9999999999998</v>
      </c>
      <c r="E89" s="105"/>
    </row>
    <row r="90" spans="3:5" x14ac:dyDescent="0.25">
      <c r="C90" s="59">
        <v>11</v>
      </c>
      <c r="D90" s="104">
        <f t="shared" si="6"/>
        <v>2015.9999999999998</v>
      </c>
      <c r="E90" s="105"/>
    </row>
    <row r="91" spans="3:5" x14ac:dyDescent="0.25">
      <c r="C91" s="59">
        <v>12</v>
      </c>
      <c r="D91" s="104">
        <f>D87</f>
        <v>4331.9699999999993</v>
      </c>
      <c r="E91" s="105"/>
    </row>
    <row r="93" spans="3:5" x14ac:dyDescent="0.25">
      <c r="C93" s="105" t="s">
        <v>179</v>
      </c>
      <c r="D93" s="105"/>
    </row>
    <row r="94" spans="3:5" x14ac:dyDescent="0.25">
      <c r="C94" s="104">
        <f>SUM(D80:E91)</f>
        <v>60640.58</v>
      </c>
      <c r="D94" s="105"/>
    </row>
  </sheetData>
  <mergeCells count="109">
    <mergeCell ref="C4:H4"/>
    <mergeCell ref="F5:K5"/>
    <mergeCell ref="C6:D6"/>
    <mergeCell ref="C7:D7"/>
    <mergeCell ref="C28:H28"/>
    <mergeCell ref="F29:J29"/>
    <mergeCell ref="C30:D30"/>
    <mergeCell ref="C31:D31"/>
    <mergeCell ref="C19:D19"/>
    <mergeCell ref="C20:D20"/>
    <mergeCell ref="C21:D21"/>
    <mergeCell ref="C18:D18"/>
    <mergeCell ref="P6:Q6"/>
    <mergeCell ref="P7:Q7"/>
    <mergeCell ref="P10:Q10"/>
    <mergeCell ref="P8:Q8"/>
    <mergeCell ref="C13:D13"/>
    <mergeCell ref="C14:D14"/>
    <mergeCell ref="C15:D15"/>
    <mergeCell ref="C16:D16"/>
    <mergeCell ref="C17:D17"/>
    <mergeCell ref="C8:D8"/>
    <mergeCell ref="C9:D9"/>
    <mergeCell ref="C10:D10"/>
    <mergeCell ref="C11:D11"/>
    <mergeCell ref="C12:D12"/>
    <mergeCell ref="C52:H52"/>
    <mergeCell ref="F53:J53"/>
    <mergeCell ref="C54:D54"/>
    <mergeCell ref="C55:D55"/>
    <mergeCell ref="L35:M35"/>
    <mergeCell ref="C43:D43"/>
    <mergeCell ref="C44:D44"/>
    <mergeCell ref="C45:D45"/>
    <mergeCell ref="L29:M29"/>
    <mergeCell ref="L30:M30"/>
    <mergeCell ref="L33:M33"/>
    <mergeCell ref="L31:M31"/>
    <mergeCell ref="C37:D37"/>
    <mergeCell ref="C38:D38"/>
    <mergeCell ref="C39:D39"/>
    <mergeCell ref="C40:D40"/>
    <mergeCell ref="C41:D41"/>
    <mergeCell ref="C42:D42"/>
    <mergeCell ref="C32:D32"/>
    <mergeCell ref="C33:D33"/>
    <mergeCell ref="C34:D34"/>
    <mergeCell ref="C35:D35"/>
    <mergeCell ref="C36:D36"/>
    <mergeCell ref="C63:D63"/>
    <mergeCell ref="C64:D64"/>
    <mergeCell ref="C65:D65"/>
    <mergeCell ref="C66:D66"/>
    <mergeCell ref="C56:D56"/>
    <mergeCell ref="C57:D57"/>
    <mergeCell ref="C58:D58"/>
    <mergeCell ref="C59:D59"/>
    <mergeCell ref="C60:D60"/>
    <mergeCell ref="D90:E90"/>
    <mergeCell ref="D91:E91"/>
    <mergeCell ref="C93:D93"/>
    <mergeCell ref="C94:D94"/>
    <mergeCell ref="P9:Q9"/>
    <mergeCell ref="S8:T8"/>
    <mergeCell ref="L32:M32"/>
    <mergeCell ref="D84:E84"/>
    <mergeCell ref="D85:E85"/>
    <mergeCell ref="D86:E86"/>
    <mergeCell ref="D87:E87"/>
    <mergeCell ref="D88:E88"/>
    <mergeCell ref="D89:E89"/>
    <mergeCell ref="C78:E78"/>
    <mergeCell ref="D79:E79"/>
    <mergeCell ref="D80:E80"/>
    <mergeCell ref="D81:E81"/>
    <mergeCell ref="D82:E82"/>
    <mergeCell ref="D83:E83"/>
    <mergeCell ref="C67:D67"/>
    <mergeCell ref="C68:D68"/>
    <mergeCell ref="C69:D69"/>
    <mergeCell ref="C61:D61"/>
    <mergeCell ref="C62:D62"/>
    <mergeCell ref="O30:P30"/>
    <mergeCell ref="O31:P31"/>
    <mergeCell ref="O32:P32"/>
    <mergeCell ref="O33:P33"/>
    <mergeCell ref="L34:M34"/>
    <mergeCell ref="O34:P34"/>
    <mergeCell ref="S7:T7"/>
    <mergeCell ref="P11:Q11"/>
    <mergeCell ref="S9:T9"/>
    <mergeCell ref="S10:T10"/>
    <mergeCell ref="S11:T11"/>
    <mergeCell ref="P12:Q12"/>
    <mergeCell ref="S12:T12"/>
    <mergeCell ref="O56:P56"/>
    <mergeCell ref="L57:M57"/>
    <mergeCell ref="O57:P57"/>
    <mergeCell ref="L58:M58"/>
    <mergeCell ref="O58:P58"/>
    <mergeCell ref="L59:M59"/>
    <mergeCell ref="O59:P59"/>
    <mergeCell ref="O35:P35"/>
    <mergeCell ref="L53:M53"/>
    <mergeCell ref="L54:M54"/>
    <mergeCell ref="O54:P54"/>
    <mergeCell ref="L55:M55"/>
    <mergeCell ref="O55:P55"/>
    <mergeCell ref="L56:M5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3"/>
  <sheetViews>
    <sheetView workbookViewId="0">
      <selection activeCell="K25" sqref="K25"/>
    </sheetView>
  </sheetViews>
  <sheetFormatPr baseColWidth="10" defaultRowHeight="15" x14ac:dyDescent="0.25"/>
  <cols>
    <col min="2" max="2" width="13.5703125" customWidth="1"/>
    <col min="3" max="3" width="16.140625" customWidth="1"/>
    <col min="9" max="9" width="12.28515625" customWidth="1"/>
  </cols>
  <sheetData>
    <row r="3" spans="2:12" x14ac:dyDescent="0.25">
      <c r="B3" s="106" t="s">
        <v>23</v>
      </c>
      <c r="C3" s="106"/>
    </row>
    <row r="4" spans="2:12" x14ac:dyDescent="0.25">
      <c r="B4" s="120" t="s">
        <v>17</v>
      </c>
      <c r="C4" s="121"/>
      <c r="D4" s="121"/>
      <c r="E4" s="121"/>
      <c r="F4" s="121"/>
      <c r="G4" s="122"/>
    </row>
    <row r="5" spans="2:12" x14ac:dyDescent="0.25">
      <c r="B5" s="2" t="s">
        <v>19</v>
      </c>
      <c r="C5" s="2" t="s">
        <v>20</v>
      </c>
      <c r="D5" s="2" t="s">
        <v>21</v>
      </c>
      <c r="E5" s="17" t="s">
        <v>18</v>
      </c>
      <c r="F5" s="2" t="s">
        <v>2</v>
      </c>
      <c r="G5" s="2"/>
    </row>
    <row r="6" spans="2:12" x14ac:dyDescent="0.25">
      <c r="B6" s="2"/>
      <c r="C6" s="2"/>
      <c r="D6" s="2"/>
      <c r="E6" s="17">
        <v>40000</v>
      </c>
      <c r="F6" s="2">
        <v>2</v>
      </c>
      <c r="G6" s="17">
        <f>E6*F6</f>
        <v>80000</v>
      </c>
    </row>
    <row r="8" spans="2:12" x14ac:dyDescent="0.25">
      <c r="B8" s="106" t="s">
        <v>254</v>
      </c>
      <c r="C8" s="106"/>
      <c r="D8" s="106"/>
      <c r="E8" s="106"/>
      <c r="F8" s="106"/>
      <c r="G8" s="106"/>
      <c r="H8" s="106"/>
      <c r="I8" s="15">
        <f>G6/12</f>
        <v>6666.666666666667</v>
      </c>
    </row>
    <row r="9" spans="2:12" x14ac:dyDescent="0.25">
      <c r="B9" s="106" t="s">
        <v>25</v>
      </c>
      <c r="C9" s="106"/>
      <c r="D9" s="19">
        <v>700</v>
      </c>
      <c r="E9" t="s">
        <v>250</v>
      </c>
      <c r="G9" s="129" t="s">
        <v>26</v>
      </c>
      <c r="H9" s="129"/>
      <c r="I9" s="20">
        <f>D9*F6*4</f>
        <v>5600</v>
      </c>
    </row>
    <row r="10" spans="2:12" x14ac:dyDescent="0.25">
      <c r="E10" s="106" t="s">
        <v>27</v>
      </c>
      <c r="F10" s="106"/>
      <c r="G10" s="106"/>
      <c r="H10" s="106"/>
      <c r="I10" s="19">
        <v>2400</v>
      </c>
      <c r="J10" s="136" t="s">
        <v>28</v>
      </c>
      <c r="K10" s="136"/>
      <c r="L10" s="136"/>
    </row>
    <row r="11" spans="2:12" x14ac:dyDescent="0.25">
      <c r="H11" s="37" t="s">
        <v>5</v>
      </c>
      <c r="I11" s="35">
        <f>SUM(I8:I10)</f>
        <v>14666.666666666668</v>
      </c>
      <c r="J11" s="106" t="s">
        <v>29</v>
      </c>
      <c r="K11" s="106"/>
    </row>
    <row r="12" spans="2:12" x14ac:dyDescent="0.25">
      <c r="B12" s="106"/>
      <c r="C12" s="106"/>
      <c r="D12" s="106"/>
      <c r="E12" s="106"/>
      <c r="F12" s="106"/>
      <c r="G12" s="106"/>
      <c r="H12" s="106"/>
      <c r="I12" s="15"/>
    </row>
    <row r="13" spans="2:12" x14ac:dyDescent="0.25">
      <c r="G13" s="106"/>
      <c r="H13" s="106"/>
      <c r="I13" s="21"/>
    </row>
    <row r="14" spans="2:12" x14ac:dyDescent="0.25">
      <c r="G14" s="120"/>
      <c r="H14" s="122"/>
      <c r="I14" s="21"/>
    </row>
    <row r="15" spans="2:12" x14ac:dyDescent="0.25">
      <c r="G15" s="119"/>
      <c r="H15" s="119"/>
      <c r="I15" s="23"/>
      <c r="J15" s="18"/>
      <c r="K15" s="18"/>
    </row>
    <row r="19" spans="2:12" x14ac:dyDescent="0.25">
      <c r="B19" s="106" t="s">
        <v>24</v>
      </c>
      <c r="C19" s="106"/>
    </row>
    <row r="20" spans="2:12" x14ac:dyDescent="0.25">
      <c r="B20" s="120" t="s">
        <v>17</v>
      </c>
      <c r="C20" s="121"/>
      <c r="D20" s="121"/>
      <c r="E20" s="121"/>
      <c r="F20" s="121"/>
      <c r="G20" s="122"/>
    </row>
    <row r="21" spans="2:12" x14ac:dyDescent="0.25">
      <c r="B21" s="2" t="s">
        <v>19</v>
      </c>
      <c r="C21" s="2" t="s">
        <v>20</v>
      </c>
      <c r="D21" s="2" t="s">
        <v>21</v>
      </c>
      <c r="E21" s="17" t="s">
        <v>18</v>
      </c>
      <c r="F21" s="2" t="s">
        <v>2</v>
      </c>
      <c r="G21" s="2"/>
    </row>
    <row r="22" spans="2:12" x14ac:dyDescent="0.25">
      <c r="B22" s="2"/>
      <c r="C22" s="2"/>
      <c r="D22" s="2" t="s">
        <v>22</v>
      </c>
      <c r="E22" s="17">
        <f>E6</f>
        <v>40000</v>
      </c>
      <c r="F22" s="2">
        <v>1</v>
      </c>
      <c r="G22" s="17">
        <f>E22*F22</f>
        <v>40000</v>
      </c>
    </row>
    <row r="24" spans="2:12" x14ac:dyDescent="0.25">
      <c r="B24" s="106" t="s">
        <v>254</v>
      </c>
      <c r="C24" s="106"/>
      <c r="D24" s="106"/>
      <c r="E24" s="106"/>
      <c r="F24" s="106"/>
      <c r="G24" s="106"/>
      <c r="H24" s="106"/>
      <c r="I24" s="15">
        <f>G22/12</f>
        <v>3333.3333333333335</v>
      </c>
    </row>
    <row r="25" spans="2:12" x14ac:dyDescent="0.25">
      <c r="B25" s="106" t="s">
        <v>25</v>
      </c>
      <c r="C25" s="106"/>
      <c r="D25" s="19">
        <v>700</v>
      </c>
      <c r="G25" s="129" t="s">
        <v>26</v>
      </c>
      <c r="H25" s="129"/>
      <c r="I25" s="20">
        <f>D25*4*F22</f>
        <v>2800</v>
      </c>
    </row>
    <row r="26" spans="2:12" x14ac:dyDescent="0.25">
      <c r="E26" s="106" t="s">
        <v>27</v>
      </c>
      <c r="F26" s="106"/>
      <c r="G26" s="106"/>
      <c r="H26" s="106"/>
      <c r="I26" s="19">
        <v>1200</v>
      </c>
      <c r="J26" s="136"/>
      <c r="K26" s="136"/>
      <c r="L26" s="136"/>
    </row>
    <row r="27" spans="2:12" x14ac:dyDescent="0.25">
      <c r="H27" s="37" t="s">
        <v>5</v>
      </c>
      <c r="I27" s="35">
        <f>SUM(I24:I26)</f>
        <v>7333.3333333333339</v>
      </c>
      <c r="J27" s="106" t="s">
        <v>29</v>
      </c>
      <c r="K27" s="106"/>
    </row>
    <row r="28" spans="2:12" x14ac:dyDescent="0.25">
      <c r="B28" s="106"/>
      <c r="C28" s="106"/>
      <c r="D28" s="106"/>
      <c r="E28" s="106"/>
      <c r="F28" s="106"/>
      <c r="G28" s="106"/>
      <c r="H28" s="106"/>
      <c r="I28" s="15"/>
    </row>
    <row r="29" spans="2:12" x14ac:dyDescent="0.25">
      <c r="G29" s="106"/>
      <c r="H29" s="106"/>
      <c r="I29" s="24"/>
    </row>
    <row r="30" spans="2:12" x14ac:dyDescent="0.25">
      <c r="G30" s="120"/>
      <c r="H30" s="122"/>
      <c r="I30" s="24"/>
    </row>
    <row r="31" spans="2:12" x14ac:dyDescent="0.25">
      <c r="G31" s="119"/>
      <c r="H31" s="119"/>
      <c r="I31" s="23"/>
      <c r="J31" s="18"/>
      <c r="K31" s="18"/>
    </row>
    <row r="32" spans="2:12" ht="15.75" thickBot="1" x14ac:dyDescent="0.3"/>
    <row r="33" spans="2:12" x14ac:dyDescent="0.25">
      <c r="H33" s="92" t="s">
        <v>251</v>
      </c>
      <c r="I33" s="93" t="s">
        <v>34</v>
      </c>
      <c r="J33" s="93" t="s">
        <v>36</v>
      </c>
      <c r="K33" s="93" t="s">
        <v>252</v>
      </c>
      <c r="L33" s="94" t="s">
        <v>58</v>
      </c>
    </row>
    <row r="34" spans="2:12" x14ac:dyDescent="0.25">
      <c r="D34" s="123" t="s">
        <v>30</v>
      </c>
      <c r="E34" s="123"/>
      <c r="F34" s="36">
        <f>I11+I27</f>
        <v>22000</v>
      </c>
      <c r="H34" s="95" t="s">
        <v>241</v>
      </c>
      <c r="I34" s="96">
        <v>1200</v>
      </c>
      <c r="J34" s="90">
        <v>3</v>
      </c>
      <c r="K34" s="90">
        <v>1</v>
      </c>
      <c r="L34" s="97">
        <f>I34*J34*K34</f>
        <v>3600</v>
      </c>
    </row>
    <row r="35" spans="2:12" x14ac:dyDescent="0.25">
      <c r="D35" s="119" t="s">
        <v>31</v>
      </c>
      <c r="E35" s="119"/>
      <c r="F35" s="22">
        <f>I15+I31</f>
        <v>0</v>
      </c>
      <c r="H35" s="95" t="s">
        <v>240</v>
      </c>
      <c r="I35" s="96">
        <v>700</v>
      </c>
      <c r="J35" s="90">
        <v>3</v>
      </c>
      <c r="K35" s="90">
        <v>4</v>
      </c>
      <c r="L35" s="97">
        <f t="shared" ref="L35:L36" si="0">I35*J35*K35</f>
        <v>8400</v>
      </c>
    </row>
    <row r="36" spans="2:12" x14ac:dyDescent="0.25">
      <c r="H36" s="95" t="s">
        <v>239</v>
      </c>
      <c r="I36" s="96">
        <v>3330</v>
      </c>
      <c r="J36" s="90">
        <v>3</v>
      </c>
      <c r="K36" s="90">
        <v>1</v>
      </c>
      <c r="L36" s="97">
        <f t="shared" si="0"/>
        <v>9990</v>
      </c>
    </row>
    <row r="37" spans="2:12" ht="15.75" thickBot="1" x14ac:dyDescent="0.3">
      <c r="B37" s="105" t="s">
        <v>175</v>
      </c>
      <c r="C37" s="105"/>
      <c r="D37" s="105"/>
      <c r="H37" s="98"/>
      <c r="I37" s="99"/>
      <c r="J37" s="99"/>
      <c r="K37" s="99" t="s">
        <v>242</v>
      </c>
      <c r="L37" s="100">
        <f>SUM(L34:L36)</f>
        <v>21990</v>
      </c>
    </row>
    <row r="38" spans="2:12" x14ac:dyDescent="0.25">
      <c r="B38" s="59" t="s">
        <v>176</v>
      </c>
      <c r="C38" s="105" t="s">
        <v>2</v>
      </c>
      <c r="D38" s="105"/>
    </row>
    <row r="39" spans="2:12" x14ac:dyDescent="0.25">
      <c r="B39" s="59">
        <v>1</v>
      </c>
      <c r="C39" s="104">
        <f t="shared" ref="C39:C50" si="1">$L$37</f>
        <v>21990</v>
      </c>
      <c r="D39" s="104"/>
    </row>
    <row r="40" spans="2:12" x14ac:dyDescent="0.25">
      <c r="B40" s="59">
        <v>2</v>
      </c>
      <c r="C40" s="104">
        <f t="shared" si="1"/>
        <v>21990</v>
      </c>
      <c r="D40" s="104"/>
    </row>
    <row r="41" spans="2:12" x14ac:dyDescent="0.25">
      <c r="B41" s="59">
        <v>3</v>
      </c>
      <c r="C41" s="104">
        <f t="shared" si="1"/>
        <v>21990</v>
      </c>
      <c r="D41" s="104"/>
    </row>
    <row r="42" spans="2:12" x14ac:dyDescent="0.25">
      <c r="B42" s="59">
        <v>4</v>
      </c>
      <c r="C42" s="104">
        <f t="shared" si="1"/>
        <v>21990</v>
      </c>
      <c r="D42" s="104"/>
    </row>
    <row r="43" spans="2:12" x14ac:dyDescent="0.25">
      <c r="B43" s="59">
        <v>5</v>
      </c>
      <c r="C43" s="104">
        <f t="shared" si="1"/>
        <v>21990</v>
      </c>
      <c r="D43" s="104"/>
    </row>
    <row r="44" spans="2:12" x14ac:dyDescent="0.25">
      <c r="B44" s="59">
        <v>6</v>
      </c>
      <c r="C44" s="104">
        <f t="shared" si="1"/>
        <v>21990</v>
      </c>
      <c r="D44" s="104"/>
    </row>
    <row r="45" spans="2:12" x14ac:dyDescent="0.25">
      <c r="B45" s="59">
        <v>7</v>
      </c>
      <c r="C45" s="104">
        <f t="shared" si="1"/>
        <v>21990</v>
      </c>
      <c r="D45" s="104"/>
    </row>
    <row r="46" spans="2:12" x14ac:dyDescent="0.25">
      <c r="B46" s="59">
        <v>8</v>
      </c>
      <c r="C46" s="104">
        <f t="shared" si="1"/>
        <v>21990</v>
      </c>
      <c r="D46" s="104"/>
    </row>
    <row r="47" spans="2:12" x14ac:dyDescent="0.25">
      <c r="B47" s="59">
        <v>9</v>
      </c>
      <c r="C47" s="104">
        <f t="shared" si="1"/>
        <v>21990</v>
      </c>
      <c r="D47" s="104"/>
    </row>
    <row r="48" spans="2:12" x14ac:dyDescent="0.25">
      <c r="B48" s="59">
        <v>10</v>
      </c>
      <c r="C48" s="104">
        <f t="shared" si="1"/>
        <v>21990</v>
      </c>
      <c r="D48" s="104"/>
    </row>
    <row r="49" spans="2:4" x14ac:dyDescent="0.25">
      <c r="B49" s="59">
        <v>11</v>
      </c>
      <c r="C49" s="104">
        <f t="shared" si="1"/>
        <v>21990</v>
      </c>
      <c r="D49" s="104"/>
    </row>
    <row r="50" spans="2:4" x14ac:dyDescent="0.25">
      <c r="B50" s="59">
        <v>12</v>
      </c>
      <c r="C50" s="104">
        <f t="shared" si="1"/>
        <v>21990</v>
      </c>
      <c r="D50" s="104"/>
    </row>
    <row r="52" spans="2:4" x14ac:dyDescent="0.25">
      <c r="B52" s="105" t="s">
        <v>179</v>
      </c>
      <c r="C52" s="105"/>
    </row>
    <row r="53" spans="2:4" x14ac:dyDescent="0.25">
      <c r="B53" s="104">
        <f>SUM(C39:D50)</f>
        <v>263880</v>
      </c>
      <c r="C53" s="105"/>
    </row>
  </sheetData>
  <mergeCells count="42">
    <mergeCell ref="B4:G4"/>
    <mergeCell ref="B3:C3"/>
    <mergeCell ref="B19:C19"/>
    <mergeCell ref="B8:H8"/>
    <mergeCell ref="B9:C9"/>
    <mergeCell ref="G9:H9"/>
    <mergeCell ref="E10:H10"/>
    <mergeCell ref="J10:L10"/>
    <mergeCell ref="D34:E34"/>
    <mergeCell ref="J11:K11"/>
    <mergeCell ref="B24:H24"/>
    <mergeCell ref="B25:C25"/>
    <mergeCell ref="G25:H25"/>
    <mergeCell ref="E26:H26"/>
    <mergeCell ref="J26:L26"/>
    <mergeCell ref="B20:G20"/>
    <mergeCell ref="B12:H12"/>
    <mergeCell ref="G13:H13"/>
    <mergeCell ref="G14:H14"/>
    <mergeCell ref="G15:H15"/>
    <mergeCell ref="J27:K27"/>
    <mergeCell ref="B28:H28"/>
    <mergeCell ref="G29:H29"/>
    <mergeCell ref="G30:H30"/>
    <mergeCell ref="G31:H31"/>
    <mergeCell ref="C47:D47"/>
    <mergeCell ref="D35:E35"/>
    <mergeCell ref="B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8:D48"/>
    <mergeCell ref="C49:D49"/>
    <mergeCell ref="C50:D50"/>
    <mergeCell ref="B52:C52"/>
    <mergeCell ref="B53:C5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Portada</vt:lpstr>
      <vt:lpstr>Global</vt:lpstr>
      <vt:lpstr>1-Nomina Mes-Año</vt:lpstr>
      <vt:lpstr>1-Desglozar Nomina</vt:lpstr>
      <vt:lpstr>2-Traslados</vt:lpstr>
      <vt:lpstr>3-DC-3 MED-DOPAJE</vt:lpstr>
      <vt:lpstr>4-UNIFORMES</vt:lpstr>
      <vt:lpstr>5-HERRAMIENTAS</vt:lpstr>
      <vt:lpstr>6-EPP</vt:lpstr>
      <vt:lpstr>7-Cuatrimotos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2026-03-28T19:11:42Z</dcterms:created>
  <dcterms:modified xsi:type="dcterms:W3CDTF">2026-04-01T23:42:19Z</dcterms:modified>
</cp:coreProperties>
</file>